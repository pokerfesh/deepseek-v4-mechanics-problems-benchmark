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h.1 Units &amp; Vectors" sheetId="2" r:id="rId6"/>
    <sheet state="visible" name="Ch.2 Motion Along a Line" sheetId="3" r:id="rId7"/>
    <sheet state="visible" name="Ch.3 Motion in 2D 3D" sheetId="4" r:id="rId8"/>
    <sheet state="visible" name="Ch.4 Newtons Laws" sheetId="5" r:id="rId9"/>
    <sheet state="visible" name="Ch.5 Applying Newtons Laws" sheetId="6" r:id="rId10"/>
    <sheet state="visible" name="Ch.6 Work &amp; Kinetic Energy" sheetId="7" r:id="rId11"/>
    <sheet state="visible" name="Ch.7 Potential Energy" sheetId="8" r:id="rId12"/>
    <sheet state="visible" name="Ch.8 Momentum &amp; Collisions" sheetId="9" r:id="rId13"/>
    <sheet state="visible" name="Ch.9 Rotation of Rigid Bodies" sheetId="10" r:id="rId14"/>
    <sheet state="visible" name="Ch.10 Dynamics of Rotation" sheetId="11" r:id="rId15"/>
    <sheet state="visible" name="Ch.11 Equilibrium &amp; Elasticity" sheetId="12" r:id="rId16"/>
    <sheet state="visible" name="Ch.12 Fluid Mechanics" sheetId="13" r:id="rId17"/>
    <sheet state="visible" name="Ch.13 Gravitation" sheetId="14" r:id="rId18"/>
    <sheet state="visible" name="Ch.14 Periodic Motion" sheetId="15" r:id="rId19"/>
    <sheet state="visible" name="Chart1 DeepSeek Model Accuracy " sheetId="16" r:id="rId20"/>
  </sheets>
  <definedNames/>
  <calcPr/>
</workbook>
</file>

<file path=xl/sharedStrings.xml><?xml version="1.0" encoding="utf-8"?>
<sst xmlns="http://schemas.openxmlformats.org/spreadsheetml/2006/main" count="1389" uniqueCount="1113">
  <si>
    <t>Chapter</t>
  </si>
  <si>
    <t># of problems</t>
  </si>
  <si>
    <t>Pro Accuracy (%)</t>
  </si>
  <si>
    <t>Flash Accuracy (%)</t>
  </si>
  <si>
    <t>Chapter 1</t>
  </si>
  <si>
    <t>Chapter 4</t>
  </si>
  <si>
    <t>Chapter 6</t>
  </si>
  <si>
    <t>Chapter 11</t>
  </si>
  <si>
    <t>Model</t>
  </si>
  <si>
    <t>N</t>
  </si>
  <si>
    <t>N_correct</t>
  </si>
  <si>
    <t>% Accuracy</t>
  </si>
  <si>
    <t>p̂</t>
  </si>
  <si>
    <t>LB</t>
  </si>
  <si>
    <t>HB</t>
  </si>
  <si>
    <t>LB-HB</t>
  </si>
  <si>
    <t>DeepSeek V4 Pro</t>
  </si>
  <si>
    <t>DeepSeek V4 Flash</t>
  </si>
  <si>
    <t>DS V4 Pro</t>
  </si>
  <si>
    <t>Chapters</t>
  </si>
  <si>
    <t>n</t>
  </si>
  <si>
    <t>x</t>
  </si>
  <si>
    <t>% accuracy</t>
  </si>
  <si>
    <t>Overall</t>
  </si>
  <si>
    <t>DS V4 Flash</t>
  </si>
  <si>
    <t>Ch.</t>
  </si>
  <si>
    <t>Item</t>
  </si>
  <si>
    <t>Pro Response</t>
  </si>
  <si>
    <t>Pro Correct?</t>
  </si>
  <si>
    <t>Flash Response</t>
  </si>
  <si>
    <t>Flash Correct?</t>
  </si>
  <si>
    <t>Remarks</t>
  </si>
  <si>
    <t>1.1</t>
  </si>
  <si>
    <t>31.7 years</t>
  </si>
  <si>
    <t>1.3</t>
  </si>
  <si>
    <t>1.00 ns</t>
  </si>
  <si>
    <t>1 ns</t>
  </si>
  <si>
    <t>1.5</t>
  </si>
  <si>
    <t>(a) 1480 m  (b) 1.85 cm</t>
  </si>
  <si>
    <t>(a) 1480 m; (b) 1.85 cm</t>
  </si>
  <si>
    <t>1.7</t>
  </si>
  <si>
    <t>(a) 1.65 tanks  (b) 9.26 L/100 km</t>
  </si>
  <si>
    <t>1.9</t>
  </si>
  <si>
    <t>9.02 cm</t>
  </si>
  <si>
    <t>1.11</t>
  </si>
  <si>
    <t>(a) 72 mm^2  (b) 0.50  (c) 36 mm  (d) 6 mm  (e) 2.0</t>
  </si>
  <si>
    <t>(a) 72 mm² (b) 0.50 (c) 36 mm (d) 6 mm (e) 2.0</t>
  </si>
  <si>
    <t>1.13</t>
  </si>
  <si>
    <t>0.446%</t>
  </si>
  <si>
    <t>1.15</t>
  </si>
  <si>
    <t>(a) 5 m  (b) 1500 kg  (c) 15 m/s</t>
  </si>
  <si>
    <t>(a) 5 m (b) 1500 kg (c) 15 m/s</t>
  </si>
  <si>
    <t>1.19</t>
  </si>
  <si>
    <t>20000 drops</t>
  </si>
  <si>
    <t>1.23</t>
  </si>
  <si>
    <t>144 m at 41° south of west</t>
  </si>
  <si>
    <t>144 m, 41° south of west</t>
  </si>
  <si>
    <t>1.27</t>
  </si>
  <si>
    <t>(a) -8.12 m  (b) 15.3 m</t>
  </si>
  <si>
    <t>1.31</t>
  </si>
  <si>
    <t>2.81 km, 38.5° north of west</t>
  </si>
  <si>
    <t>1.39</t>
  </si>
  <si>
    <t>(a) |A| = √29.00 ≈ 5.39, |B| = √19.00 ≈ 4.36
(b) A − B = −5.00î + 2.00ĵ + 1.00k̂
(c) |A − B| = √30.00 ≈ 5.48. Yes, the magnitude is the same as |B − A| because B − A = −(A − B), and multiplying a vector by −1 reverses its direction but does not change its magnitude.</t>
  </si>
  <si>
    <t>(a) 5.39, 4.36 (b) -5.00î + 2.00ĵ + 1.00k̂ (c) 5.48; yes, because the vector difference A − B and B − A are opposite vectors, so they have the same magnitude</t>
  </si>
  <si>
    <t>1.43</t>
  </si>
  <si>
    <t>(a) 52.1°  (b) 28.1°  (c) 90°</t>
  </si>
  <si>
    <t>(a) 165° (b) 28.1° (c) 90°</t>
  </si>
  <si>
    <t>1.47</t>
  </si>
  <si>
    <t>2.0 m in the -y-direction</t>
  </si>
  <si>
    <t>1.49</t>
  </si>
  <si>
    <t>(a) 5.51 g/cm³  (b) 1.13 × 10⁶ g/cm³  (c) 4.75 × 10¹⁴ g/cm³</t>
  </si>
  <si>
    <t>(a) 5.5 g/cm³ (b) 1.1 × 10⁶ g/cm³ (c) 4.7 × 10¹⁴ g/cm³</t>
  </si>
  <si>
    <t>1.51</t>
  </si>
  <si>
    <t>(a) 1.65×104 km  (b) 2.58</t>
  </si>
  <si>
    <t>(a) 1.65 × 10^4 km  (b) 2.58 times Earth’s radius</t>
  </si>
  <si>
    <t>1.55</t>
  </si>
  <si>
    <t>(a) 0.600𝐢 + 0.800𝐤  (b) -0.600𝐢 - 0.800𝐤  (c) ±(0.800𝐢 - 0.600𝐤)</t>
  </si>
  <si>
    <t>(a) 0.6 i + 0.8 j  (b) -0.6 i - 0.8 j  (c) -0.8 i + 0.6 j and 0.8 i - 0.6 j</t>
  </si>
  <si>
    <t>1.57</t>
  </si>
  <si>
    <t>138 m, 36.8° south of west</t>
  </si>
  <si>
    <t>1.59</t>
  </si>
  <si>
    <t>361 N/C, 4.76° below the -x axis (or 184.8° from +x axis)</t>
  </si>
  <si>
    <t>361 N/C, 4.76° from the −x‑axis toward the −y‑axis</t>
  </si>
  <si>
    <t>1.63</t>
  </si>
  <si>
    <t>60.9 km, 33.0° south of west</t>
  </si>
  <si>
    <t>60.9 km at 33.0° south of west</t>
  </si>
  <si>
    <t>1.65</t>
  </si>
  <si>
    <t>28.8 m, 11.4° north of east</t>
  </si>
  <si>
    <t>28.8 m at 11.4° north of east</t>
  </si>
  <si>
    <t>1.71</t>
  </si>
  <si>
    <t>29.5 m, 71.4° south of east (or 18.6° east of south)</t>
  </si>
  <si>
    <t>29.6 m at 71.4° south of east</t>
  </si>
  <si>
    <t>1.73</t>
  </si>
  <si>
    <t>28.2 m</t>
  </si>
  <si>
    <t>1.75</t>
  </si>
  <si>
    <t>-2.00 J</t>
  </si>
  <si>
    <t>1.77</t>
  </si>
  <si>
    <t>128°</t>
  </si>
  <si>
    <t>1.79</t>
  </si>
  <si>
    <t xml:space="preserve">(a) A·B = bd; A×B = −bc î − ad ĵ + ac k̂  (b) |A·B| = bd; |A×B| = ad, direction = −y (−ĵ); </t>
  </si>
  <si>
    <t>(a) A·B = ac + bd, A×B = (bc - ad)ĵ  (b) ad, bd, -ĵ, yes, yes, yes</t>
  </si>
  <si>
    <t>1.81</t>
  </si>
  <si>
    <t>122 m^2</t>
  </si>
  <si>
    <t>1.83</t>
  </si>
  <si>
    <t>34.4 m</t>
  </si>
  <si>
    <t>1.85</t>
  </si>
  <si>
    <t>C = 7.96 i + 6.12 j</t>
  </si>
  <si>
    <t>C = (390/49) i + (300/49) j</t>
  </si>
  <si>
    <t>Problem #</t>
  </si>
  <si>
    <t>2.1</t>
  </si>
  <si>
    <t>25.0 m</t>
  </si>
  <si>
    <t>2.3</t>
  </si>
  <si>
    <t>29.1 min</t>
  </si>
  <si>
    <t>2.5</t>
  </si>
  <si>
    <t>(a) 0.313 m/s east (b) 1.56 m/s</t>
  </si>
  <si>
    <t>2.7</t>
  </si>
  <si>
    <t>(a) 12.0 m/s  (b) 0 m/s, 15.0 m/s, 12.0 m/s  (c) 13.3 s</t>
  </si>
  <si>
    <t xml:space="preserve"> (a) 12.0 m/s  (b) 0 m/s, 15.0 m/s, 12.0 m/s  (c) 13.3 s</t>
  </si>
  <si>
    <t>2.13</t>
  </si>
  <si>
    <t>(a) Initial position = 50.0 cm, initial velocity = 2.00 cm/s, initial acceleration = −0.125 cm/s²  (b) 16.0 s  (c) 32.0 s  (d) t = 6.20 s, v = 1.22 cm/s (right); t = 25.8 s, v = 1.22 cm/s (left); t = 36.4 s, v = 2.55 cm/s (left)  (e) x vs t: parabola opening downward, vertex at (16 s, 66.0 cm), crossing x = 50.0 cm at t = 0 and t = 32 s. vₓ vs t: straight line from +2.00 cm/s at t = 0, sloping down through zero at t = 16 s to −3.00 cm/s at t = 40 s. aₓ vs t: horizontal line at −0.125 cm/s².</t>
  </si>
  <si>
    <t>(a) 50.0 cm, 2.00 cm/s, −0.125 cm/s² (b) 16.0 s (c) 32.0 s (d) t = 16 − 4√6 s ≈ 6.20 s, v = 0.5√6 cm/s ≈ 1.22 cm/s to the right; t = 16 + 4√6 s ≈ 25.8 s, v = −0.5√6 cm/s ≈ −1.22 cm/s to the left; t = 16 + 4√26 s ≈ 36.4 s, v = −0.5√26 cm/s ≈ −2.55 cm/s to the left</t>
  </si>
  <si>
    <t>2.15</t>
  </si>
  <si>
    <t>(a) 0.500 m/s²; (b) 0 m/s² and 1.00 m/s²</t>
  </si>
  <si>
    <t>(a) 0.500 m/s² (b) 0 m/s²</t>
  </si>
  <si>
    <t>2.17</t>
  </si>
  <si>
    <t>a) At t=0: x=2.17 m, a=9.60 m/s2; at t=2.0 s: x=14.97 m, a=−38.4 m/s2</t>
  </si>
  <si>
    <t>(a) at t=0: x=2.17 m, a=9.60 m/s2; at t=2.00 s: x=15.0 m, a=−38.4 m/s2</t>
  </si>
  <si>
    <t>2.19</t>
  </si>
  <si>
    <t>(a) 8.33 m/s (b) 1.11 m/s^2</t>
  </si>
  <si>
    <t>(a) 8.33 m/s  (b) 1.11 m/s²</t>
  </si>
  <si>
    <t>2.21</t>
  </si>
  <si>
    <t>(a) 675 m/s²  (b) 0.0667 s</t>
  </si>
  <si>
    <t>2.23</t>
  </si>
  <si>
    <t>1.70 m</t>
  </si>
  <si>
    <t>2.25</t>
  </si>
  <si>
    <t>0.38 m</t>
  </si>
  <si>
    <t>0.381 m</t>
  </si>
  <si>
    <t>2.27</t>
  </si>
  <si>
    <t>(a) 3.13 × 10⁶ m/s², 3.19 × 10⁵ g  (b) 1.60 × 10⁻³ s  (c) No, we cannot rule out the hypothesis because the acceleration (about 319,000g) is less than the 450,000g that over 40% of Bacillus subtilis bacteria survived.</t>
  </si>
  <si>
    <t>(a) 3.1 × 10⁶ m/s², 3.2 × 10⁵ g  (b) 1.6 × 10⁻³ s  (c) No, we cannot rule out the hypothesis.</t>
  </si>
  <si>
    <t>2.31</t>
  </si>
  <si>
    <t>(a) 2.94 m/s (b) 0.599 s</t>
  </si>
  <si>
    <t>(a) 2.94 m/s (b) 0.600 s</t>
  </si>
  <si>
    <t>2.33</t>
  </si>
  <si>
    <t>1.67 s</t>
  </si>
  <si>
    <t>2.35</t>
  </si>
  <si>
    <t>(a) 33.5 m  (b) 15.8 m/s  (c) y-t: downward-opening parabola</t>
  </si>
  <si>
    <t>(a) 33.5 m  (b) 15.8 m/s  (c) Position: parabola opening downward; velocity: linear decreasing from positive to negative; acceleration: constant negative.</t>
  </si>
  <si>
    <t>2.39</t>
  </si>
  <si>
    <t>(a) \( t = \sqrt{\frac{2d}{g}} \) (b) 0.190 s</t>
  </si>
  <si>
    <t>2.41</t>
  </si>
  <si>
    <t>(a) 646 m  (b) 16.4 s, 112 m/s</t>
  </si>
  <si>
    <t>2.43</t>
  </si>
  <si>
    <t>15.9 m</t>
  </si>
  <si>
    <t>2.45</t>
  </si>
  <si>
    <t>0.0868 m/s^2</t>
  </si>
  <si>
    <t>0.0868 m/s²</t>
  </si>
  <si>
    <t>2.47</t>
  </si>
  <si>
    <t>37.6 m/s</t>
  </si>
  <si>
    <t>2.51</t>
  </si>
  <si>
    <t>(a) v(t) = 0.750 t² − 0.0400 t³ (m/s), x(t) = 0.250 t³ − 0.0100 t⁴ (m)  (b) 39.1 m/s</t>
  </si>
  <si>
    <t>(a) v(t)=0.75t2−0.04t3 m/s, x(t)=0.25t3−0.01t4 m (b) 39.1 m/s ; 2.52 (a) 6.8 m/s (b) 11.8 m</t>
  </si>
  <si>
    <t>2.55</t>
  </si>
  <si>
    <t>250 km</t>
  </si>
  <si>
    <t>250.25 km</t>
  </si>
  <si>
    <t>2.57</t>
  </si>
  <si>
    <t>(a) 197 m/s  (b) 169 m/s</t>
  </si>
  <si>
    <t>197 m/s and 169 m/s</t>
  </si>
  <si>
    <t>2.59</t>
  </si>
  <si>
    <t>(a) 4.24 m/s  (b) 7.54 s</t>
  </si>
  <si>
    <t>2.63</t>
  </si>
  <si>
    <t>66.7 m</t>
  </si>
  <si>
    <t>2.65</t>
  </si>
  <si>
    <t>(a) 7.56 s  (b) 37.1 m  (c) truck: 15.9 m/s, car: 25.7 m/s  (d) Both are parabolas starting from rest. Truck: x=21​(2.10)t2 starting at x=0. Car: x=−37.1+21​(3.40)t2. The curves intersect at t=7.56 s, x=60.0 m.</t>
  </si>
  <si>
    <t>(a) 7.56 s  (b) 37.1 m  (c) truck = 15.9 m/s, car = 25.7 m/s</t>
  </si>
  <si>
    <t>2.67</t>
  </si>
  <si>
    <t>3.17 m/s²</t>
  </si>
  <si>
    <t>3.17 m/s^2</t>
  </si>
  <si>
    <t>2.69</t>
  </si>
  <si>
    <t>(a) 2.0 s  (b) velocity: 16 m/s in the negative x-direction; acceleration: 40 m/s² in the negative x-direction</t>
  </si>
  <si>
    <t>(a) 2.0 s (b) velocity: 16 m/s in the negative x-direction; acceleration: 40 m/s² in the negative x-direction</t>
  </si>
  <si>
    <t>2.71</t>
  </si>
  <si>
    <t>(a) -4.00 m/s (b) 12.0 m/s</t>
  </si>
  <si>
    <t>2.73</t>
  </si>
  <si>
    <t>38.2 m</t>
  </si>
  <si>
    <t>2.75</t>
  </si>
  <si>
    <t>(a) 6.69 m/s  (b) 4.49 m  (c) 1.42 s</t>
  </si>
  <si>
    <t>2.77</t>
  </si>
  <si>
    <t>(a) 10/3 s (b) 9H</t>
  </si>
  <si>
    <t>2.81</t>
  </si>
  <si>
    <t>(a) 0.625 m/s³ (b) 107 m</t>
  </si>
  <si>
    <t>(a) 0.625 m/s^3 (b) 107 m</t>
  </si>
  <si>
    <t>2.83</t>
  </si>
  <si>
    <t>(a) Car A  (b) t=0, t=4−3
​ s, t=4+3
​ s  (c) t=1.00 s, t=313​ s  (d) t=38​ s</t>
  </si>
  <si>
    <t>(a) Car A  (b) 0, 4−3
​ s, 4+3
​ s  (c) 0, 1.00 s, 4−3
​ s, 313​ s, 4+3
​ s  (d) 38​ s</t>
  </si>
  <si>
    <t>2.85</t>
  </si>
  <si>
    <t>(a) 0.0510 s^2/m  (b) lower than  (c) The graph is not a straight line; it is a curve that bends upward from the original straight line</t>
  </si>
  <si>
    <t>(a) 0.0510 s²/m (b) lower than (c) No</t>
  </si>
  <si>
    <t>2.87</t>
  </si>
  <si>
    <t>4.83 (dimensionless)</t>
  </si>
  <si>
    <t>4.83</t>
  </si>
  <si>
    <t>2.91</t>
  </si>
  <si>
    <t>da/√2</t>
  </si>
  <si>
    <t>d_a/√2</t>
  </si>
  <si>
    <t>3.1</t>
  </si>
  <si>
    <t>(a) vx​=1.47m/s,vy​=−1.17m/s  (b) 1.87m/s,38.5∘ below the +x-axis (or −38.5∘)</t>
  </si>
  <si>
    <t>(a) 1.47 m/s, −1.17 m/s (b) 1.87 m/s, 38.5° below the +x-axis</t>
  </si>
  <si>
    <t>3.3</t>
  </si>
  <si>
    <t>(a) 7.85 cm/s, 44.5° above +x axis  (b) t=0: 5.5 cm/s, 90° (+y); t=1.0 s: 7.85 cm/s, 44.5°; t=2.0 s: 12.5 cm/s, 26.1°  (c) Parabola x = 4.4 + 0.0926y² from (4.4,0) to (15.6,11.0) with velocity vectors tangent at the three points</t>
  </si>
  <si>
    <t>(a) 2.83 cm/s, 32.0° above the +x axis (b) t = 0: 1.5 cm/s, +y direction; t = 1.0 s: 2.83 cm/s, 32.0° above the +x axis; t = 2.0 s: 5.03 cm/s, 17.4° above the +x axis (c) Parabola x = 3.4 cm + 0.533y², from y = 0 to y = 3.0 cm, with velocity vectors at t = 0 (vertical upward), t = 1.0 s (32.0° above +x), and t = 2.0 s (17.4° above +x) drawn tangent to the curve</t>
  </si>
  <si>
    <t>3.5</t>
  </si>
  <si>
    <t>(b) aavg,x​=−8.77m/s2,aavg,y​=−2.67m/s2 (c) 9.16m/s2,16.9∘ south of west (or 196.9∘ CCW from +x axis)</t>
  </si>
  <si>
    <t>(b) aav,x​=−8.77 m/s2, aav,y​=−2.67 m/s2 (c) 9.16 m/s², 197° counterclockwise from the +x-axis (or 17° below the –x-axis)</t>
  </si>
  <si>
    <t>3.7</t>
  </si>
  <si>
    <t>(b) v(t) = (2.4 m/s) î + (−2.4t m/s) ĵ; a(t) = (0) î + (−2.4 m/s²) ĵ. (c) |v| = 5.37 m/s at 63.4° below the +x axis; |a| = 2.4 m/s², direction: straight downward (−y). (d) Speed is increasing; the bird is turning clockwise (curving downward).</t>
  </si>
  <si>
    <t>(b) v(t) = (2.4 m/s) î + (−2.4t m/s) ĵ, a(t) = (−2.4 m/s²) ĵ (c) |v| = 5.37 m/s, direction = 63° below +x axis (or 297°); |a| = 2.4 m/s², direction = vertically downward (d) Speed increasing (v·a &gt; 0); Yes, the bird is turning clockwise (downward)</t>
  </si>
  <si>
    <t>3.9</t>
  </si>
  <si>
    <t>(a) 0.502 m  (b) 0.448 m  (c) vx​=1.40 m/s, vy​=−3.14 m/s (3.14 m/s downward), magnitude = 3.43 m/s, direction = 65.9° below the horizontal</t>
  </si>
  <si>
    <t>(a) 0.502 m  (b) 0.448 m  (c) vx = 1.40 m/s, vy = 3.14 m/s downward, v = 3.43 m/s, 65.9° below horizontal</t>
  </si>
  <si>
    <t>3.11</t>
  </si>
  <si>
    <t>2.91 m</t>
  </si>
  <si>
    <t>291 cm</t>
  </si>
  <si>
    <t>3.13</t>
  </si>
  <si>
    <t>(a) 28.6 m/s  (b) 34.6 m/s</t>
  </si>
  <si>
    <t>(a) 28.6 m/s (b) 34.6 m/s</t>
  </si>
  <si>
    <t>3.15</t>
  </si>
  <si>
    <t>1.32 m/s^2</t>
  </si>
  <si>
    <t>3.17</t>
  </si>
  <si>
    <t>(a) 0.610 s, 3.58 s  (b) At t = 0.610 s: v_x = 25.8 m/s, v_y = 14.6 m/s; At t = 3.58 s: v_x = 25.8 m/s, v_y = -14.6 m/s  (c) 33.0 m/s, 38.5° below the horizontal</t>
  </si>
  <si>
    <t>(a) 0.609 s, 3.58 s (b) At 0.609 s: vx = 25.8 m/s, vy = 14.6 m/s; at 3.58 s: vx = 25.8 m/s, vy = -14.6 m/s (c) 33.0 m/s, 38.5° below the horizontal</t>
  </si>
  <si>
    <t>3.21</t>
  </si>
  <si>
    <t>(a) 13.6 m  (b) 34.6 m/s  (c) 103 m  (d) x-t: straight line</t>
  </si>
  <si>
    <t>(a) 13.6 m (b) 34.6 m/s (c) 103 m</t>
  </si>
  <si>
    <t>3.25</t>
  </si>
  <si>
    <t>(a) 0.0337 m/s², 3.44 × 10⁻³ g  (b) 5070 s (1.41 h)</t>
  </si>
  <si>
    <t>(a) 0.0337 m/s², 3.44×10⁻³ g  (b) 5070 s (or 1.41 h)</t>
  </si>
  <si>
    <t>3.27</t>
  </si>
  <si>
    <t>52.8 m/s^2</t>
  </si>
  <si>
    <t>52.6 m/s^2</t>
  </si>
  <si>
    <t>3.33</t>
  </si>
  <si>
    <t>(a) 39.8 m/s  (b) 0.700 g (or 6.86 m/s²)  (c) 21.1 rpm</t>
  </si>
  <si>
    <t>(a) 39.8 m/s  (b) 6.86 m/s²  (c) 21.1 rpm</t>
  </si>
  <si>
    <t>3.35</t>
  </si>
  <si>
    <t>(a) 10.3 s  (b) 107 s</t>
  </si>
  <si>
    <t>3.37</t>
  </si>
  <si>
    <t>0.42 m/s, 43.1° south of west</t>
  </si>
  <si>
    <t>0.42 m/s, 43° south of west</t>
  </si>
  <si>
    <t>3.39</t>
  </si>
  <si>
    <t>(a) 30° west of south  (b) 6.35 h</t>
  </si>
  <si>
    <t>(a) 30° west of south (b) 11√3/3 h</t>
  </si>
  <si>
    <t>3.41</t>
  </si>
  <si>
    <t>(a) 4.65 m/s, 25.5° south of east  (b) 119 s  (c) 238 m</t>
  </si>
  <si>
    <t>(a) 4.7 m/s, 25° south of east (b) 119 s (c) 238 m</t>
  </si>
  <si>
    <t>3.43</t>
  </si>
  <si>
    <t>(a) 14.5° north of west (b) 310 km/h</t>
  </si>
  <si>
    <t>3.49</t>
  </si>
  <si>
    <t>266 m</t>
  </si>
  <si>
    <t>3.51</t>
  </si>
  <si>
    <t>(a) 55.5 m south of the point directly under the helicopter at the instant of the drop  (b) x-t: straight line through origin</t>
  </si>
  <si>
    <t>(a) 55.5 m south (b) x-t: linear; y-t: parabolic; vx-t: constant; vy-t: linear</t>
  </si>
  <si>
    <t>3.53</t>
  </si>
  <si>
    <t>48.3 m</t>
  </si>
  <si>
    <t>3.55</t>
  </si>
  <si>
    <t>(a) 16.6 m/s  (b) 10.8 m/s, 40.1° below the horizontal</t>
  </si>
  <si>
    <t>(a) 16.6 m/s (b) 10.8 m/s, 40.1° below the horizontal</t>
  </si>
  <si>
    <t>3.59</t>
  </si>
  <si>
    <t>(a) \( v = \sqrt{v_0^2 + 2gH} \)  (b) \( v = \sqrt{v_0^2 + 2gH} \)  (c) \( v = \sqrt{v_0^2 + 2gH} \)  (d) stays the same</t>
  </si>
  <si>
    <t>(a) \(\sqrt{v_0^2 + 2gH}\) (b) \(\sqrt{v_0^2 + 2gH}\) (c) \(v = \sqrt{v_0^2 + 2gH}\) (d) stays the same</t>
  </si>
  <si>
    <t>3.67</t>
  </si>
  <si>
    <t>6.25 s</t>
  </si>
  <si>
    <t>3.71</t>
  </si>
  <si>
    <t>(a) 54.1 km/h, 28.2° south of west  (b) 10.8° north of west</t>
  </si>
  <si>
    <t>(a) 54.1 km/h, 28.2° south of west (b) 10.8° north of west</t>
  </si>
  <si>
    <t>3.73</t>
  </si>
  <si>
    <t>7.94 m/s, 58.5° east of north</t>
  </si>
  <si>
    <t>7.94 m/s at 58.5° east of north</t>
  </si>
  <si>
    <t>3.75</t>
  </si>
  <si>
    <t>3.42 m/s, 6.90° north of east</t>
  </si>
  <si>
    <t>3.42 m/s, 6.89° north of east</t>
  </si>
  <si>
    <t>3.79</t>
  </si>
  <si>
    <t>70.5°</t>
  </si>
  <si>
    <t>arctan(2√2)</t>
  </si>
  <si>
    <t>3.83</t>
  </si>
  <si>
    <t>0.47 s</t>
  </si>
  <si>
    <t>(b) 0.47 s</t>
  </si>
  <si>
    <t>3.85</t>
  </si>
  <si>
    <t>(c)</t>
  </si>
  <si>
    <t>4.1</t>
  </si>
  <si>
    <t>553 N, 27.1°</t>
  </si>
  <si>
    <t>4.5</t>
  </si>
  <si>
    <t>(a) -6.69 N, 2.83 N  (b) 7.26 N</t>
  </si>
  <si>
    <t>(a) -6.69 N, 2.83 N (b) 7.26 N</t>
  </si>
  <si>
    <t>4.7</t>
  </si>
  <si>
    <t>46.7 N</t>
  </si>
  <si>
    <t>4.9</t>
  </si>
  <si>
    <t>13.9 kg</t>
  </si>
  <si>
    <t>4.11</t>
  </si>
  <si>
    <t>(a) 3.125 m, 3.125 m/s  (b) 21.875 m, 6.25 m/s</t>
  </si>
  <si>
    <t>(a) 3.12 m, 3.12 m/s  (b) 21.9 m, 6.25 m/s</t>
  </si>
  <si>
    <t>4.15</t>
  </si>
  <si>
    <t>(a) A = 130.0 N, B = 5.50 N/s²  (b) (i) F_net = 81.0 N, a = 16.2 m/s² upward  (ii) F_net = 148 N, a = 29.7 m/s² upward  (c) a = 39.5 m/s²</t>
  </si>
  <si>
    <t>(a) A = 130.0 N, B = 5.50 N/s² (b) (i) F_net = 81.0 N, a = 16.2 m/s² upward (ii) F_net = 148 N, a = 29.7 m/s² upward (c) 39.5 m/s²</t>
  </si>
  <si>
    <t>4.17</t>
  </si>
  <si>
    <t>2.29 × 10^3 N</t>
  </si>
  <si>
    <t>2290 N</t>
  </si>
  <si>
    <t>4.19</t>
  </si>
  <si>
    <t>(a) 4.90 kg  (b) mass = 4.90 kg, weight = 8.87 N</t>
  </si>
  <si>
    <t>(a) 4.90 kg  (b) 4.90 kg, 8.87 N</t>
  </si>
  <si>
    <t>4.21</t>
  </si>
  <si>
    <t>675 N</t>
  </si>
  <si>
    <t>4.25</t>
  </si>
  <si>
    <t>7.4 × 10^{-23} m/s^2</t>
  </si>
  <si>
    <t>7.35e-23 m/s^2</t>
  </si>
  <si>
    <t>4.27</t>
  </si>
  <si>
    <t>(b) Yes</t>
  </si>
  <si>
    <t>(b) Yes,</t>
  </si>
  <si>
    <t>4.29</t>
  </si>
  <si>
    <t xml:space="preserve">(a) Uniform velocity: Yes (b) Speeding up uniformly: No, </t>
  </si>
  <si>
    <t>(a) yes  (b) no</t>
  </si>
  <si>
    <t>4.33</t>
  </si>
  <si>
    <t>2.00 s</t>
  </si>
  <si>
    <t>4.39</t>
  </si>
  <si>
    <t>(a) 4.38 m  (b) 300 m/s  (c) (i) 2.70×10^4 N  (ii) 9000 N</t>
  </si>
  <si>
    <t>(a) 9.06 m  (b) 613 m/s  (c) (i) 57000 N  (ii) 16500 N</t>
  </si>
  <si>
    <t>4.41</t>
  </si>
  <si>
    <t>(a) 0.603 m/s² upward  (b) 1.26 m/s² downward</t>
  </si>
  <si>
    <t>(a) 0.603 m/s² upward (b) 1.26 m/s² downward</t>
  </si>
  <si>
    <t>4.43</t>
  </si>
  <si>
    <t>1.63 × 10^3 N</t>
  </si>
  <si>
    <t>1630 N</t>
  </si>
  <si>
    <t>4.47</t>
  </si>
  <si>
    <t>308.5 N</t>
  </si>
  <si>
    <t>309 N</t>
  </si>
  <si>
    <t>4.49</t>
  </si>
  <si>
    <t>4.01 m</t>
  </si>
  <si>
    <t>4.55</t>
  </si>
  <si>
    <t>(a) 0.593 m, 1.33 s, 4.00 N  (b) 2.00 s, 2.00 m/s</t>
  </si>
  <si>
    <t>(a) 0.593 m (16/27 m), 1.33 s (4/3 s), 4.00 N (b) 2.00 s, 2.00 m/s</t>
  </si>
  <si>
    <t>4.57</t>
  </si>
  <si>
    <t>180 N</t>
  </si>
  <si>
    <t>(d)</t>
  </si>
  <si>
    <t>4.59</t>
  </si>
  <si>
    <t>0 N</t>
  </si>
  <si>
    <t>5.1</t>
  </si>
  <si>
    <t>(a) 23.0 N  (b) 46.0 N</t>
  </si>
  <si>
    <t>5.3</t>
  </si>
  <si>
    <t>(a) 990 N (maximum), 735 N (minimum)  (b) 926 N</t>
  </si>
  <si>
    <t>(a) 990 N, 735 N (b) 926 N</t>
  </si>
  <si>
    <t>5.5</t>
  </si>
  <si>
    <t>48.2°</t>
  </si>
  <si>
    <t>5.11</t>
  </si>
  <si>
    <t>(a) 1.10 × 10^8 N  (b) 5w  (c) 8.44 s</t>
  </si>
  <si>
    <t>(a) 1.10×10^8 N (b) 5w (c) 8.44 s</t>
  </si>
  <si>
    <t>5.13</t>
  </si>
  <si>
    <t>(a) 4.61 × 10³ m/s², 470g  (b) 9.68 × 10⁵ N, 470 × capsule weight  (c) 1.88 × 10⁻² s</t>
  </si>
  <si>
    <t>(a) 4610 m/s², 470 g  (b) 9.67×10⁵ N, 470  (c) 0.0188 s</t>
  </si>
  <si>
    <t>5.17</t>
  </si>
  <si>
    <t>(b) a=2.89 m/s2, (c) m=1.97 kg, (d) The tension is less than the weight of the hanging block: T=13.6 N vs. mg=19.3 N (T≈0.705mg).</t>
  </si>
  <si>
    <t>(b) 2.89 m/s² (c) 1.97 kg (d) The tension is less than the weight of the hanging block.</t>
  </si>
  <si>
    <t>5.19</t>
  </si>
  <si>
    <t>(a) 3.4 m/s  (b) Upward normal force (N) from the ground and downward weight (w)  (c) 2.2w</t>
  </si>
  <si>
    <t>(a) 3.43 m/s  (c) 2.2w</t>
  </si>
  <si>
    <t>5.21</t>
  </si>
  <si>
    <t>(a) 13.2 m  (b) 17.2 m/s</t>
  </si>
  <si>
    <t>5.23</t>
  </si>
  <si>
    <t>50.2 degrees</t>
  </si>
  <si>
    <t>50.2°</t>
  </si>
  <si>
    <t>5.25</t>
  </si>
  <si>
    <t>(a) 33 N  (b) 3.1 m</t>
  </si>
  <si>
    <t>5.27</t>
  </si>
  <si>
    <t>(a) μ_s = 0.850, μ_k = 0.587  (b) 275 N  (c) (i) 52.9 N  (ii) 6.21 m/s²</t>
  </si>
  <si>
    <t>(a) μ_s = 0.850, μ_k = 0.587 (b) 275 N (c) (i) 52.9 N (ii) 6.21 m/s²</t>
  </si>
  <si>
    <t>5.31</t>
  </si>
  <si>
    <t>(a) 18.3 m/s²  (b) 2.29 m/s²</t>
  </si>
  <si>
    <t>(a) 18.3 m/s² (b) 2.29 m/s²</t>
  </si>
  <si>
    <t>5.35</t>
  </si>
  <si>
    <t>(a) 52.5 m  (b) 16.0 m/s</t>
  </si>
  <si>
    <t>5.41</t>
  </si>
  <si>
    <t>(a) \( F = \frac{\mu_k m g}{\cos\theta - \mu_k \sin\theta} \)  (b) \(\mu_s = \cot\theta\)</t>
  </si>
  <si>
    <t>(a) μ_k mg/(cosθ - μ_k sinθ) (b) cotθ</t>
  </si>
  <si>
    <t>5.43</t>
  </si>
  <si>
    <t>(b) 8.22 m/s</t>
  </si>
  <si>
    <t xml:space="preserve"> (b) 8.2 m/s</t>
  </si>
  <si>
    <t>5.49</t>
  </si>
  <si>
    <t>(a) 21.1°, No, the truck does not need to go slower because the ideal banking angle is independent of vehicle mass. (b) Car: 1.18 × 10⁴ N, Truck: 2.36 × 10⁴ N</t>
  </si>
  <si>
    <t>(a) 21.1°; no, the heavy truck does not need to go slower than the lighter car  (b) car: 1.18×10⁴ N, truck: 2.36×10⁴ N</t>
  </si>
  <si>
    <t>5.53</t>
  </si>
  <si>
    <t>(a) 1.42 rev/min  (b) 0.871 rev/min</t>
  </si>
  <si>
    <t>5.55</t>
  </si>
  <si>
    <t>(a) \(\sqrt{gR}\) m/s; (b) \(5mg\) N</t>
  </si>
  <si>
    <t>(a) \(\sqrt{gR}\) (b) \(5mg\)</t>
  </si>
  <si>
    <t>5.57</t>
  </si>
  <si>
    <t>2.42 m/s</t>
  </si>
  <si>
    <t>5.63</t>
  </si>
  <si>
    <t>3.18 m/s</t>
  </si>
  <si>
    <t>5.67</t>
  </si>
  <si>
    <t>786 N</t>
  </si>
  <si>
    <t>5.81</t>
  </si>
  <si>
    <t>921.6 N</t>
  </si>
  <si>
    <t>5.83</t>
  </si>
  <si>
    <t>m1 = 1.30 kg, m2 = 2.19 kg</t>
  </si>
  <si>
    <t>5.99</t>
  </si>
  <si>
    <t>(b) 0.28  (c) No</t>
  </si>
  <si>
    <t>(b) 0.28 (c) No</t>
  </si>
  <si>
    <t>6.1</t>
  </si>
  <si>
    <t>(a) 3.30 J (b) -0.770 J (c) 0 (d) 0 (e) 2.53 J</t>
  </si>
  <si>
    <t>6.3</t>
  </si>
  <si>
    <t>(a) 73.5 N (b) 331 J (c) -331 J (d) 0 J (normal)</t>
  </si>
  <si>
    <t>(a) 73.5 N (b) 331 J (c) -331 J (d) 0 J</t>
  </si>
  <si>
    <t>6.5</t>
  </si>
  <si>
    <t>(a) -1.75 × 10^3 J (b) No</t>
  </si>
  <si>
    <t>(a) -1750 J (b) No</t>
  </si>
  <si>
    <t>6.9</t>
  </si>
  <si>
    <t>-6.72 J</t>
  </si>
  <si>
    <t>6.11</t>
  </si>
  <si>
    <t>(a) 0° (b) 4</t>
  </si>
  <si>
    <t>6.13</t>
  </si>
  <si>
    <t>-572 J</t>
  </si>
  <si>
    <t>6.15</t>
  </si>
  <si>
    <t>(a) 120 J (b) -108 J (c) 24.0 J</t>
  </si>
  <si>
    <t>(a) 120 J (b) 108 J (c) 24.0 J</t>
  </si>
  <si>
    <t>6.17</t>
  </si>
  <si>
    <t>(a) 3.6 × 10⁴ J (b) 4</t>
  </si>
  <si>
    <t>35840 J and factor of 4</t>
  </si>
  <si>
    <t>6.19</t>
  </si>
  <si>
    <t>(a) 4.8 × 10^23 J (b) 1.15 × 10^8 megatons</t>
  </si>
  <si>
    <t>(a) 4.8 × 10^23 J (b) 1.1 × 10^8 times</t>
  </si>
  <si>
    <t>6.21</t>
  </si>
  <si>
    <t>4W1</t>
  </si>
  <si>
    <t>6.23</t>
  </si>
  <si>
    <t>sqrt(2gh(1 + mk cot(a)))</t>
  </si>
  <si>
    <t>√(2gh(1+μ_k cot α))</t>
  </si>
  <si>
    <t>6.25</t>
  </si>
  <si>
    <t>25.4 N</t>
  </si>
  <si>
    <t>6.27</t>
  </si>
  <si>
    <t>(a) 4.48 m/s (b) 3.61 m/s</t>
  </si>
  <si>
    <t>6.29</t>
  </si>
  <si>
    <t>a) faster, by a factor of 2  (b) 1/√3</t>
  </si>
  <si>
    <t>(a) faster, by a factor of 2 (b) by a factor of 1/sqrt(3)
​</t>
  </si>
  <si>
    <t>6.31</t>
  </si>
  <si>
    <t>(a) d = v₀²/(2μₖg) (b) (i) 1/2 (ii) 4 (iii) 2</t>
  </si>
  <si>
    <t>(a) d = v0^2/(2 μ_k g) (b) (i) 1/2 (ii) 4 (iii) 1</t>
  </si>
  <si>
    <t>6.35</t>
  </si>
  <si>
    <t>(a) 4.0 m/s (b) 4.5 m/s</t>
  </si>
  <si>
    <t>(a) 11.3 m/s (b) 17.0 m/s</t>
  </si>
  <si>
    <t>6.37</t>
  </si>
  <si>
    <t>8.5 cm</t>
  </si>
  <si>
    <t>6.43</t>
  </si>
  <si>
    <t>(a) 2.94 m/s (b) 2.44 m/s</t>
  </si>
  <si>
    <t>6.45</t>
  </si>
  <si>
    <t>8.15 m/s</t>
  </si>
  <si>
    <t>6.47</t>
  </si>
  <si>
    <t>(a) 360,000 J  (b) 98.0 m/s</t>
  </si>
  <si>
    <t>360,000 J, 98.0 m/s</t>
  </si>
  <si>
    <t>6.53</t>
  </si>
  <si>
    <t>(a) 13.2 W (b) 22.7 crates</t>
  </si>
  <si>
    <t>(a) 13.2 W (b) 23 crates</t>
  </si>
  <si>
    <t>6.55</t>
  </si>
  <si>
    <t>29.2 kW</t>
  </si>
  <si>
    <t>6.57</t>
  </si>
  <si>
    <t>0.20 W</t>
  </si>
  <si>
    <t>0.2 W</t>
  </si>
  <si>
    <t>6.59</t>
  </si>
  <si>
    <t>(a) 608 J (b) -395 J (c) 0 (d) -189 J (e) 24 J (f) 1.54 m/s</t>
  </si>
  <si>
    <t>(a) 608 J  (b) -395 J  (c) 0 J  (d) -189 J  (e) 23.8 J  (f) 1.54 m/s</t>
  </si>
  <si>
    <t>6.61</t>
  </si>
  <si>
    <t>(a) -35.5 J (b) increase (c) -51.6 J</t>
  </si>
  <si>
    <t>6.65</t>
  </si>
  <si>
    <t>(a) 1.79 m/s, 6.44 km/h  (b) 179 m/s², 18.3 g, 894 N</t>
  </si>
  <si>
    <t>(a) 1.8 m/s, 6.4 km/h (b) 180 m/s², 18 g's, 900 N</t>
  </si>
  <si>
    <t>6.67</t>
  </si>
  <si>
    <t>(a) 5.11 m (b) 0.304 (c) 10.3 m</t>
  </si>
  <si>
    <t>6.69</t>
  </si>
  <si>
    <t xml:space="preserve">: (a) V/√2, greater than half the final speed (b) WD/4, less than half the work </t>
  </si>
  <si>
    <t>(a) V/√2
​V​, greater than   (b) 4WD​​, less than   (6.70) 3.79 J</t>
  </si>
  <si>
    <t>6.73</t>
  </si>
  <si>
    <t>6.26×10^4 N/m</t>
  </si>
  <si>
    <t>6.3 × 10^4 N/m</t>
  </si>
  <si>
    <t>6.75</t>
  </si>
  <si>
    <t>1.53 m</t>
  </si>
  <si>
    <t>6.77</t>
  </si>
  <si>
    <t>(a) 2.39 m/s  (b) 9.42 m/s², away from the wall</t>
  </si>
  <si>
    <t>(a) 2.39 m/s (b) 9.42 m/s², away from the wall</t>
  </si>
  <si>
    <t>6.81</t>
  </si>
  <si>
    <t>0.755</t>
  </si>
  <si>
    <t>6.83</t>
  </si>
  <si>
    <t>1.3 m</t>
  </si>
  <si>
    <t>1.28 m</t>
  </si>
  <si>
    <t>6.85</t>
  </si>
  <si>
    <t>(a) 1.09 × 10^5 J (b) 1.21 × 10^5 J (c) 3.84 × 10^3 W</t>
  </si>
  <si>
    <t>(a) 1.09 × 10⁵ J  (b) 1.21 × 10⁵ J  (c) 3.84 kW</t>
  </si>
  <si>
    <t>6.89</t>
  </si>
  <si>
    <t>(a) 1.27 × 10^5 J (b) 1.47 W</t>
  </si>
  <si>
    <t>(a) 1.27×10^5 J (b) 1.47 W</t>
  </si>
  <si>
    <t>6.93</t>
  </si>
  <si>
    <t>(a) K=1/6​Mv2  (b) 7.01 m/s  (c) 4.19 m/s  (d) Ball: 0.403 J, Spring: 0.727 J</t>
  </si>
  <si>
    <t xml:space="preserve">(a) 1/6Mv2 (b) 7.01 m/s (c) 4.19 m/s (d) ball: 0.403 J, spring: 0.727 J
</t>
  </si>
  <si>
    <t>6.95</t>
  </si>
  <si>
    <t>(a) 1/3 of the energy</t>
  </si>
  <si>
    <t>1/3</t>
  </si>
  <si>
    <t>6.97</t>
  </si>
  <si>
    <t>7.1</t>
  </si>
  <si>
    <t>(a) 829,000 J (or 8.29 × 10⁵ J)  (b) −1,090,000 J (or −1.09 × 10⁶ J)</t>
  </si>
  <si>
    <t>(a) 8.29 × 10⁵ J  (b) -1.09 × 10⁶ J</t>
  </si>
  <si>
    <t>7.3</t>
  </si>
  <si>
    <t>(a) 614 N  (b) (i) 0  (ii) 554 J</t>
  </si>
  <si>
    <t>(a) 614 N (b)(i) 0 (b)(ii) 554 J</t>
  </si>
  <si>
    <t>7.5</t>
  </si>
  <si>
    <t>(a) 23.2 m/s (b) 23.2 m/s (c) (b)</t>
  </si>
  <si>
    <t>(a) 23.2 m/s (b) 23.2 m/s (c) part (b)</t>
  </si>
  <si>
    <t>7.7</t>
  </si>
  <si>
    <t>(a) 1.83 m/s  (b) 9.2 × 10⁻⁷ J, 1.67 J/kg  (c) 193 m, 61.5 m/s  (d) 5.88 J/kg  (e) In a pad of resilin (elastic protein) at the base of the hind legs, released via a catapult mechanism.</t>
  </si>
  <si>
    <t>(a) 1.83 m/s  (b) 9.16×10⁻⁷ J, 1.67 J/kg  (c) 193 m, 61.5 m/s  (d) 5.88 J/kg  (e) in resilin pads in its legs</t>
  </si>
  <si>
    <t>7.11</t>
  </si>
  <si>
    <t>-5436 J</t>
  </si>
  <si>
    <t>7.13</t>
  </si>
  <si>
    <t>(a) -15.7 J, +11.8 J  (b) -0.200T, +0.200T  (c) 0, -3.92 J, 0.748 m/s</t>
  </si>
  <si>
    <t>(a) -15.7 J for 8.00 kg block, +11.8 J for 6.00 kg block (b) -0.200T on 8.00 kg block, +0.200T on 6.00 kg block (c) 0, -3.92 J, 0.748 m/s</t>
  </si>
  <si>
    <t>7.15</t>
  </si>
  <si>
    <t>(a) 45.0 J  (b) 11.3 J</t>
  </si>
  <si>
    <t>(a) 45 J  (b) 11.25 J</t>
  </si>
  <si>
    <t>7.17</t>
  </si>
  <si>
    <t>(a) (i) 4U0  (ii) U0/4  (b) (i) √2 x0  (ii) x0/√2</t>
  </si>
  <si>
    <t>(a) (i) 4U0 (ii) U0/4 (b) (i) √2 x0 (ii) x0/√2</t>
  </si>
  <si>
    <t>7.19</t>
  </si>
  <si>
    <t>(a) 0.0606 m  (b) 0.0142 m</t>
  </si>
  <si>
    <t>(a) 0.0606 m (b) 0.0142 m</t>
  </si>
  <si>
    <t>7.21</t>
  </si>
  <si>
    <t>(a) 0.0632 m  (b) 0.116 m</t>
  </si>
  <si>
    <t>7.23</t>
  </si>
  <si>
    <t>(a) 3.59 m/s, 0.0465 s after release (b) 121 m/s², immediately upon release (t = 0)</t>
  </si>
  <si>
    <t>(a) 3.59 m/s at equilibrium; (b) 121 m/s^2 at maximum compression.</t>
  </si>
  <si>
    <t>7.25</t>
  </si>
  <si>
    <t>(a) 6.25 × 10⁵ N/m  (b) 0.0988 m</t>
  </si>
  <si>
    <t>(a) 6.25 × 10⁵ N/m (b) 0.0988 m</t>
  </si>
  <si>
    <t>7.27</t>
  </si>
  <si>
    <t>(a) -2.64 J  (b) -2.64 J  (c) -5.28 J  (d) nonconservative; because the total work done over the closed round-trip path is not zero.</t>
  </si>
  <si>
    <t>(a) -2.6 J  (b) -2.6 J  (c) -5.3 J  (d) nonconservative</t>
  </si>
  <si>
    <t>7.29</t>
  </si>
  <si>
    <t>(a) 8.16 m/s  (b) 766 J</t>
  </si>
  <si>
    <t>7.31</t>
  </si>
  <si>
    <t>2.71 N in the +x direction</t>
  </si>
  <si>
    <t>7.33</t>
  </si>
  <si>
    <t>121 m/s^2 at 133° counterclockwise from the positive x-axis</t>
  </si>
  <si>
    <t>121 m/s^2 at 133° from +x-axis</t>
  </si>
  <si>
    <t>7.35</t>
  </si>
  <si>
    <t>(a) (12a/r^13) - (6b/r^7) (b)(2a/b)^1/6, stable (c) (b^2)/4a (d) 6.67×10−138 J⋅m12, 6.41×10−78 J⋅m6</t>
  </si>
  <si>
    <t>(a) F(r)= (12a/r^13) - (6b/r^7) (b) r0​=(2a/b)^1/6, stable (c) (b^2)/4a (d) a=6.67×10−138 J⋅m12, b=6.41×10−78 J⋅m6</t>
  </si>
  <si>
    <t>7.47</t>
  </si>
  <si>
    <t>10.8 J</t>
  </si>
  <si>
    <t>7.49</t>
  </si>
  <si>
    <t>15.5 m/s</t>
  </si>
  <si>
    <t>7.53</t>
  </si>
  <si>
    <t>(a) 7.00 m/s  (b) 9.56 N</t>
  </si>
  <si>
    <t>7.00 m/s and 9.56 N</t>
  </si>
  <si>
    <t>7.59</t>
  </si>
  <si>
    <t xml:space="preserve"> (a) U(x) = (1/2) a x² + (1/3) b x³  (b) 7.85 m/s</t>
  </si>
  <si>
    <t>7.61</t>
  </si>
  <si>
    <t>(a) U(x) =U(x) = a/(x + x₀) (b) 3.27 m/s</t>
  </si>
  <si>
    <t>(a) U(x)=x+x0​a​  (b) 3.27 m/s</t>
  </si>
  <si>
    <t>7.63</t>
  </si>
  <si>
    <t>7.95 m/s</t>
  </si>
  <si>
    <t>7.65</t>
  </si>
  <si>
    <t>(a) 0.747 m/s  (b) 0.931 m/s</t>
  </si>
  <si>
    <t>7.67</t>
  </si>
  <si>
    <t>(a) 0.480 m/s  (b) 0.566 m/s</t>
  </si>
  <si>
    <t>7.71</t>
  </si>
  <si>
    <t>0.460 N</t>
  </si>
  <si>
    <t>7.73</t>
  </si>
  <si>
    <t>119 J</t>
  </si>
  <si>
    <t>7.75</t>
  </si>
  <si>
    <t>(a) -101 J  (b) -134 J  (c) The work differs along the two paths (-101 J vs -134 J), so the force is nonconservative.</t>
  </si>
  <si>
    <t>(a) -101 J (b) -134 J (c) The work done is path-dependent, so the force is nonconservative.</t>
  </si>
  <si>
    <t>7.81</t>
  </si>
  <si>
    <t>0.20 nm</t>
  </si>
  <si>
    <t>8.1</t>
  </si>
  <si>
    <t>(a) 1.20 × 10⁵ kg·m/s  (b) (i) 60.0 m/s  (ii) 26.8 m/s</t>
  </si>
  <si>
    <t>(a) 120,000 kg·m/s  (b) (i) 60.0 m/s  (ii) 26.8 m/s</t>
  </si>
  <si>
    <t>8.5</t>
  </si>
  <si>
    <t>(a) 58.5 kg·m/s, to the left  (b) 876 J</t>
  </si>
  <si>
    <t>(a) 58.5 kg·m/s, toward the 125 kg lineman (b) 876 J</t>
  </si>
  <si>
    <t>8.7</t>
  </si>
  <si>
    <t>467 N</t>
  </si>
  <si>
    <t>8.9</t>
  </si>
  <si>
    <t>(a) 10.8 m/s, to the right  (b) 0.75 m/s, to the left</t>
  </si>
  <si>
    <t>(a) 10.8 m/s to the right (b) 0.75 m/s to the left</t>
  </si>
  <si>
    <t>8.11</t>
  </si>
  <si>
    <t>(a) 500 N/s²  (b) 5.81 × 10³ N·s  (c) 2.70 m/s</t>
  </si>
  <si>
    <t>(a) 500 N/s^2 (b) 5812.5 N·s (c) 2.70 m/s</t>
  </si>
  <si>
    <t>8.15</t>
  </si>
  <si>
    <t>(a) 800 kg·m/s  (b) 8000 J  (c) 160 N opposite to her direction of motion</t>
  </si>
  <si>
    <t>(a) 800 kg·m/s (b) 8000 J (c) 160 N</t>
  </si>
  <si>
    <t>8.17</t>
  </si>
  <si>
    <t>1.34 kg·m/s</t>
  </si>
  <si>
    <t>8.19</t>
  </si>
  <si>
    <t>(a) 9.57 m/s  (b) 96.9 J</t>
  </si>
  <si>
    <t>8.21</t>
  </si>
  <si>
    <t>(a) 0.852 m/s (b) -0.00877 J</t>
  </si>
  <si>
    <t>(a) 0.852 m/s  (b) -0.00877 J</t>
  </si>
  <si>
    <t>8.23</t>
  </si>
  <si>
    <t>1.52 m/s</t>
  </si>
  <si>
    <t>8.25</t>
  </si>
  <si>
    <t>(a) 0.0589 m/s  (b) 0.0312 m/s</t>
  </si>
  <si>
    <t>(a) 0.0589 m/s (b) 0.0312 m/s</t>
  </si>
  <si>
    <t>8.29</t>
  </si>
  <si>
    <t>(a) 4.3 m/s  (c) 4.3 m/s</t>
  </si>
  <si>
    <t>(a) 4.32 m/s (b) The sack has zero horizontal momentum when dropped; conservation of horizontal momentum reduces your speed because the total mass increases. (c) Your speed remains 4.32 m/s because throwing the sack straight up exerts no horizontal force</t>
  </si>
  <si>
    <t>8.31</t>
  </si>
  <si>
    <t>0.31 m/s south</t>
  </si>
  <si>
    <t>8.33</t>
  </si>
  <si>
    <t>(a) 0.863 m/s  (b) 2.09 J</t>
  </si>
  <si>
    <t>(a) 0.863 m/s (b) 2.09 J</t>
  </si>
  <si>
    <t>8.35</t>
  </si>
  <si>
    <t>13.5 J</t>
  </si>
  <si>
    <t>8.37</t>
  </si>
  <si>
    <t>5.8 m/s at 56° north of east</t>
  </si>
  <si>
    <t>8.39</t>
  </si>
  <si>
    <t>5.46 m/s, 36.0° south of east</t>
  </si>
  <si>
    <t>5.46 m/s at 36.0° south of east</t>
  </si>
  <si>
    <t>8.43</t>
  </si>
  <si>
    <t>(a) 1.31 cm  (b) 866 J  (c) 1.15 J</t>
  </si>
  <si>
    <t>(a) 0.0131 m  (b) 866 J  (c) 1.15 J</t>
  </si>
  <si>
    <t>8.45</t>
  </si>
  <si>
    <t>249 N</t>
  </si>
  <si>
    <t>8.47</t>
  </si>
  <si>
    <t>(a) 93.5 J, 2.55 m/s (both blocks)  (b) −1.91 m/s (block A), 5.09 m/s (block B)</t>
  </si>
  <si>
    <t>(a) 93.5 J, 2.55 m/s for both blocks  (b) -1.91 m/s, 5.09 m/s</t>
  </si>
  <si>
    <t>8.49</t>
  </si>
  <si>
    <t>(a) 1/3 (b) 1/9 (c) 10</t>
  </si>
  <si>
    <t>(a) 1/3  (b) 1/9  (c) 10</t>
  </si>
  <si>
    <t>8.51</t>
  </si>
  <si>
    <t>(a) Object B  (b) 3 times  (c) 3.0 m/s to the left</t>
  </si>
  <si>
    <t>(a) Object B  (b) 3 times as massive  (c) 3.0 m/s to the left</t>
  </si>
  <si>
    <t>8.55</t>
  </si>
  <si>
    <t>0.488 m</t>
  </si>
  <si>
    <t>8.57</t>
  </si>
  <si>
    <t>0.733 m/s</t>
  </si>
  <si>
    <t>8.61</t>
  </si>
  <si>
    <t>(a) 0.053 kg (b) 5.2 N</t>
  </si>
  <si>
    <t>(a) 0.053 kg  (b) 5.2 N</t>
  </si>
  <si>
    <t>8.67</t>
  </si>
  <si>
    <t>(a) 5.21 J, both blocks move at 0.0833 m/s to the left  (b) block A: 2.17 m/s to the left, block B: 0.333 m/s to the right</t>
  </si>
  <si>
    <t>(a) 5.21 J, both at 0.0833 m/s to the left (b) block A: 2.17 m/s to the left, block B: 0.333 m/s to the right</t>
  </si>
  <si>
    <t>8.71</t>
  </si>
  <si>
    <t>0.946 m</t>
  </si>
  <si>
    <t>8.75</t>
  </si>
  <si>
    <t>v_A/2</t>
  </si>
  <si>
    <t>vA/2</t>
  </si>
  <si>
    <t>8.83</t>
  </si>
  <si>
    <t>(a) 1  (b) \(3 \pm 2\sqrt{2}\)</t>
  </si>
  <si>
    <t>(a) 1  (b) 3 ± 2√2</t>
  </si>
  <si>
    <t>8.85</t>
  </si>
  <si>
    <t>(a) 0.0781  (b) 248 J  (c) 0.441 J</t>
  </si>
  <si>
    <t>(a) 0.0781 (b) 248 J (c) 0.441 J</t>
  </si>
  <si>
    <t>8.89</t>
  </si>
  <si>
    <t>4.04 m/s</t>
  </si>
  <si>
    <t>8.91</t>
  </si>
  <si>
    <t>0.353 m</t>
  </si>
  <si>
    <t>8.93</t>
  </si>
  <si>
    <t>H/9</t>
  </si>
  <si>
    <t>8.97</t>
  </si>
  <si>
    <t>(a) 14.3 m/s and 71.5 m/s; (b) 347 m</t>
  </si>
  <si>
    <t>9.1</t>
  </si>
  <si>
    <t>(a) 0.641 rad, 36.7°  (b) 6.10 cm  (c) 1.28 m</t>
  </si>
  <si>
    <t>(a) 0.641 rad, 36.7° (b) 6.10 cm (c) 1.28 m</t>
  </si>
  <si>
    <t>9.3</t>
  </si>
  <si>
    <t>(a) A: rad/s, B: rad/s³  (b) (i) 0 rad/s²  (ii) 8.00 rad/s²  (c) 8.06 rad</t>
  </si>
  <si>
    <t>(a) A: rad/s, B: rad/s³ (b) (i) 0 rad/s² (ii) 8.00 rad/s² (c) 8.06 rad</t>
  </si>
  <si>
    <t>9.5</t>
  </si>
  <si>
    <t>(a) ω(t) = γ + 3βt² = 0.428 + 0.0300t² rad/s  (b) 0.428 rad/s  (c) ω_z(4.55) = 1.05 rad/s, ω_av-z = 0.635 rad/s; the average of ω(0) and ω(4.55) is 0.739 rad/s, which is not equal to ω_av-z = 0.635 rad/s.</t>
  </si>
  <si>
    <t>(a) ω(t) = γ + 3βt²  (b) 0.428 rad/s  (c) ω_z(4.55 s) = 1.05 rad/s, ω_av,z = 0.635 rad/s; the average of the instantaneous angular velocities at t = 0 and t = 4.55 s is 0.739 rad/s, which is not equal to ω_av,z</t>
  </si>
  <si>
    <t>9.9</t>
  </si>
  <si>
    <t>(a) 2.17 rad/s  (b) 4.67 rad</t>
  </si>
  <si>
    <t>9.11</t>
  </si>
  <si>
    <t>(a) 22.7 s  (b) 65.2 rev</t>
  </si>
  <si>
    <t>9.13</t>
  </si>
  <si>
    <t>9.51 rad/s</t>
  </si>
  <si>
    <t>9.15</t>
  </si>
  <si>
    <t>(a) 100 rpm  (b) 42.5 s, 177 rev</t>
  </si>
  <si>
    <t>(a) 100 rpm (b) 42.5 s, 177 rev</t>
  </si>
  <si>
    <t>9.17</t>
  </si>
  <si>
    <t>9 rev</t>
  </si>
  <si>
    <t>9.00 rev</t>
  </si>
  <si>
    <t>9.21</t>
  </si>
  <si>
    <t>(a) 8.80 m/s^2  (b) 8.80 m/s^2</t>
  </si>
  <si>
    <t>(a) 8.80 m/s^2 (b) 8.80 m/s^2</t>
  </si>
  <si>
    <t>9.25</t>
  </si>
  <si>
    <t>r = 0.124 m; the claim is not realistic</t>
  </si>
  <si>
    <t>0.124 m, The claim is not realistic</t>
  </si>
  <si>
    <t>9.27</t>
  </si>
  <si>
    <t>5.97 rad/s^2</t>
  </si>
  <si>
    <t>9.29</t>
  </si>
  <si>
    <t>0.180 m/s², 0.432 m/s², 0.468 m/s²</t>
  </si>
  <si>
    <t>0.180 m/s², 0.432 m/s², 0.468 m/s</t>
  </si>
  <si>
    <t>9.31</t>
  </si>
  <si>
    <t>(a) (i) 0.336 kg·m²  (ii) 0.0840 kg·m²  (iii) 0  (b) (i) 0.0200 kg·m²  (ii) 0.0333 kg·m²  (c) (i) 0.0306 kg·m²  (ii) 0.0153 kg·m²</t>
  </si>
  <si>
    <t>(a) (i) 0.336 kg·m² (ii) 0.0840 kg·m² (iii) 0 (b) (i) 0.0200 kg·m² (ii) 0.0333 kg·m² (c) (i) 0.0306 kg·m² (ii) 0.0153 kg·m²</t>
  </si>
  <si>
    <t>9.33</t>
  </si>
  <si>
    <t>(a) 1.93 kg·m²  (b) 6.53 kg·m²  (c) 0  (d) 1.15 kg·m²</t>
  </si>
  <si>
    <t>(a) 1.93 kg·m² (b) 6.53 kg·m² (c) 0 (d) 1.15 kg·m²</t>
  </si>
  <si>
    <t>9.35</t>
  </si>
  <si>
    <t>0.205 kg m^2</t>
  </si>
  <si>
    <t>0.205 kg·m^2</t>
  </si>
  <si>
    <t>9.37</t>
  </si>
  <si>
    <t>0.208 s</t>
  </si>
  <si>
    <t>0.209 s</t>
  </si>
  <si>
    <t>9.39</t>
  </si>
  <si>
    <t>\(\sqrt{\frac{3}{5}}\omega_1\)</t>
  </si>
  <si>
    <t>√(3/5) v1</t>
  </si>
  <si>
    <t>9.41</t>
  </si>
  <si>
    <t>5.57 m/s</t>
  </si>
  <si>
    <t>9.43</t>
  </si>
  <si>
    <t>3/16</t>
  </si>
  <si>
    <t>9.45</t>
  </si>
  <si>
    <t>73500 J</t>
  </si>
  <si>
    <t>9.51</t>
  </si>
  <si>
    <t>An axis parallel to a diameter and at a distance of \(\frac{2}{\sqrt{15}}R\) from the center of the sphere.</t>
  </si>
  <si>
    <t>axis parallel to a diameter at distance (2/√15)R from center</t>
  </si>
  <si>
    <t>9.53</t>
  </si>
  <si>
    <t>\frac{1}{3}M(a^2 + b^2)</t>
  </si>
  <si>
    <t>M(a^2+b^2)/3</t>
  </si>
  <si>
    <t>9.55</t>
  </si>
  <si>
    <t>(1/2) M R^2</t>
  </si>
  <si>
    <t>(1/2)MR^2</t>
  </si>
  <si>
    <t>9.57</t>
  </si>
  <si>
    <t>(a) M = (1/2) g L^2; (b) I = (1/2) M L^2; (c) I = (1/6) M L^2</t>
  </si>
  <si>
    <t>(a) M = γL²/2  (b) I = ML²/2 (c) I = ML²/6</t>
  </si>
  <si>
    <t>9.59</t>
  </si>
  <si>
    <t>10.6 m</t>
  </si>
  <si>
    <t>9.63</t>
  </si>
  <si>
    <t>1.22 kg</t>
  </si>
  <si>
    <t>9.65</t>
  </si>
  <si>
    <t>8.44 kg</t>
  </si>
  <si>
    <t>9.67</t>
  </si>
  <si>
    <t>0.0287 m</t>
  </si>
  <si>
    <t>2.87 cm</t>
  </si>
  <si>
    <t>9.69</t>
  </si>
  <si>
    <t>68.4 J</t>
  </si>
  <si>
    <t>9.71</t>
  </si>
  <si>
    <t>4.65 kg·m^2</t>
  </si>
  <si>
    <t>4.65 kg m^2</t>
  </si>
  <si>
    <t>9.73</t>
  </si>
  <si>
    <t>(a) -0.833 J  (b) 5.42 rad/s  (c) 5.42 m/s  (d) The speed of the end of the stick (5.42 m/s) is greater than the speed of a particle that has fallen 1.00 m from rest (4.43 m/s).</t>
  </si>
  <si>
    <t>(a) -0.833 J  (b) 5.42 rad/s  (c) 5.42 m/s  (d) 5.42 m/s &gt; 4.43 m/s</t>
  </si>
  <si>
    <t>9.75</t>
  </si>
  <si>
    <t>1.46 m/s</t>
  </si>
  <si>
    <t>9.77</t>
  </si>
  <si>
    <t>v = √[2gd(m_B - μ_k m_A) / (m_A + m_B + I/R²)]</t>
  </si>
  <si>
    <t>v = sqrt(2g d (m_B - μ_k m_A) / (m_A + m_B + I/R^2))</t>
  </si>
  <si>
    <t>9.81</t>
  </si>
  <si>
    <t>13.9 m</t>
  </si>
  <si>
    <t>9.85</t>
  </si>
  <si>
    <t>(a) 55.3 kg  (b) 0.804 kg·m^2</t>
  </si>
  <si>
    <t>(a) 55.3 kg (b) 0.804 kg·m^2</t>
  </si>
  <si>
    <t>9.93</t>
  </si>
  <si>
    <t>44π/10 rad/s²</t>
  </si>
  <si>
    <t>44π/10 rad/s^2</t>
  </si>
  <si>
    <t>9.95</t>
  </si>
  <si>
    <t>4 times the moment of inertia of the American eel</t>
  </si>
  <si>
    <t>four times the moment of inertia as the American eel</t>
  </si>
  <si>
    <t>10.5</t>
  </si>
  <si>
    <t>(b) Into the page (negative z-direction)  (c) τ = (0)î + (0)ĵ + (−1.05 N·m)k̂</t>
  </si>
  <si>
    <t>(b) Into the page (negative z-direction)  (c) −1.05 N·m in the k̂ direction</t>
  </si>
  <si>
    <t>10.9</t>
  </si>
  <si>
    <t>11.9 N·m</t>
  </si>
  <si>
    <t>10.11</t>
  </si>
  <si>
    <t>(a) -14.8 rad/s²  (b) 1.52 s</t>
  </si>
  <si>
    <t>(a) 14.8 rad/s^2  (b) 1.52 s</t>
  </si>
  <si>
    <t>10.13</t>
  </si>
  <si>
    <t>(a) 7.50 N and 18.2 N; (b) 0.0160 kg·m²</t>
  </si>
  <si>
    <t>(a) 7.50 N, 18.2 N  (b) 0.0160 kg·m²</t>
  </si>
  <si>
    <t>10.15</t>
  </si>
  <si>
    <t>0.399 kg·m²</t>
  </si>
  <si>
    <t>0.399 kg·m^2</t>
  </si>
  <si>
    <t>10.17</t>
  </si>
  <si>
    <t>0.0131 kg·m^2</t>
  </si>
  <si>
    <t>10.19</t>
  </si>
  <si>
    <t>(a) 1.56 m/s  (b) 5.35 J  (c) (i) 3.12 m/s to the right  (ii) 0  (iii) 1.56 m/s to the right, 1.56 m/s downward  (or 2.21 m/s at 45° below the horizontal) (d) (i) 1.56 m/s to the right  (ii) 1.56 m/s to the left  (iii) 1.56 m/s downward</t>
  </si>
  <si>
    <t>(a) 1.56 m/s  (b) 5.35 J  (c) (i) 3.12 m/s to the right (or +x direction)  (ii) 0 m/s  (iii) 1.56 m/s to the right and 1.56 m/s downward (or 2.21 m/s at 45° below horizontal)  (d) (i) 1.56 m/s to the right  (ii) 1.56 m/s to the left  (iii) 1.56 m/s downward</t>
  </si>
  <si>
    <t>10.21</t>
  </si>
  <si>
    <t>(a) 1/3  (b) 2/7  (c) 2/5  (d) 5/13</t>
  </si>
  <si>
    <t>10.23</t>
  </si>
  <si>
    <t>(a) 0.785  (b) No(c) When there is no slipping, the point of contact between the ball and the surface is instantaneously at rest relative to the surface; the friction force is therefore static friction, not kinetic friction.</t>
  </si>
  <si>
    <t xml:space="preserve">(a) 0.785 (b) No (c) there is no relative sliding motion, so kinetic friction does not apply.
</t>
  </si>
  <si>
    <t>10.31</t>
  </si>
  <si>
    <t>(a) 67.9 rad/s  (b) 8.35 J</t>
  </si>
  <si>
    <t>(a) 67.9 rad/s (b) 8.35 J</t>
  </si>
  <si>
    <t>10.33</t>
  </si>
  <si>
    <t>(a) 0.327 rad/s  (b) 129 J  (c) 7.56 W</t>
  </si>
  <si>
    <t>10.35</t>
  </si>
  <si>
    <t>(a) 0.35 N·m  (b) 160 rad  (c) 55 J  (d) 55 J</t>
  </si>
  <si>
    <t>(a) 0.349 N·m (b) 157 rad (c) 54.8 J (d) 54.8 J</t>
  </si>
  <si>
    <t>10.39</t>
  </si>
  <si>
    <t>4.71 × 10^{-6} kg·m^2/s</t>
  </si>
  <si>
    <t>4.71e-6 kg m^2/s</t>
  </si>
  <si>
    <t>10.47</t>
  </si>
  <si>
    <t>(a) 1.87 rad/s; (b) initial kinetic energy = 2.24 × 10^3 J</t>
  </si>
  <si>
    <t>(a) 1.87 rad/s  (b) before: 2240 J</t>
  </si>
  <si>
    <t>10.49</t>
  </si>
  <si>
    <t>(a) 0.12 rad/s  (b) 3.2 × 10^{-4} J  (c) From the internal (muscular) energy of the bug.</t>
  </si>
  <si>
    <t>(a) 0.12 rad/s (b) 3.2 × 10^{-4} J (c) the bug's internal energy (chemical energy)</t>
  </si>
  <si>
    <t>10.51</t>
  </si>
  <si>
    <t>4.82 m/s^2</t>
  </si>
  <si>
    <t>4.815 m/s^2</t>
  </si>
  <si>
    <t>10.53</t>
  </si>
  <si>
    <t>ω = \frac{2 m_{\text{rock}} v}{R (M + 2m)}</t>
  </si>
  <si>
    <t>ω = (2 m_rock v) / (R (M + 2m))</t>
  </si>
  <si>
    <t>10.55</t>
  </si>
  <si>
    <t>2.66e-12 N m</t>
  </si>
  <si>
    <t>2.66e-12 N·m</t>
  </si>
  <si>
    <t>10.63</t>
  </si>
  <si>
    <t>a_A = 0.323 m/s² downward, a_B = 0.323 m/s² upward, α_C = 3.23 rad/s², T_A = 33.2 N, T_B = 20.2 N</t>
  </si>
  <si>
    <t>(a) 0.323 m/s² (block A downward, block B upward) (b) 3.23 rad/s² (c) 33.2 N (on side of block A), 20.2 N (on side of block B)</t>
  </si>
  <si>
    <t>10.65</t>
  </si>
  <si>
    <t>Solid sphere: \( \frac{7}{10} \frac{v_{\text{cm}}^2}{g} \) ; Hollow sphere: \( \frac{5}{6} \frac{v_{\text{cm}}^2}{g} \) ; The hollow sphere reaches the greater height.</t>
  </si>
  <si>
    <t xml:space="preserve">(a) solid sphere: \(h = \frac{7v_{\text{cm}}^2}{10g}\); hollow sphere: \(h = \frac{5v_{\text{cm}}^2}{6g}\); (b) the hollow sphere reaches the greater height.
</t>
  </si>
  <si>
    <t>10.67</t>
  </si>
  <si>
    <t>68.0 N</t>
  </si>
  <si>
    <t>10.71</t>
  </si>
  <si>
    <t>Linear acceleration: a=2+b2R2​2g​=2b2+R22gb2​
Angular acceleration: α=2b2+R22gb​
Tension: T=2b2+R22mgR2​</t>
  </si>
  <si>
    <t>FINAL ANSWER: (a) a=R2+2b22gb2​
(b) α=R2+2b22gb​
(c) T=R2+2b22mgR2​</t>
  </si>
  <si>
    <t>10.73</t>
  </si>
  <si>
    <t>(a) \(\frac{3}{5}H_0\)  (b) The ball does not return to height \(H_0\) because on the smooth (frictionless) part of the terrain</t>
  </si>
  <si>
    <t>(a) (3/5)H0  (b) It does not return to H0 because rotational kinetic energy remains constant on the smooth side and is not converted to gravitational potential energy; the total mechanical energy is conserved</t>
  </si>
  <si>
    <t>10.75</t>
  </si>
  <si>
    <t>29.0 m/s</t>
  </si>
  <si>
    <t>10.77</t>
  </si>
  <si>
    <t>(a) 24.4 m/s  (b) The speed would not change.</t>
  </si>
  <si>
    <t>(a) 24.4 m/s (b) The speed remains the same.</t>
  </si>
  <si>
    <t>10.81</t>
  </si>
  <si>
    <t>(a) 6v/(19L)  (b) 3/19</t>
  </si>
  <si>
    <t>(a) \(\frac{6v}{19L}\) (b) \(\frac{3}{19}\)</t>
  </si>
  <si>
    <t>10.83</t>
  </si>
  <si>
    <t>3200 J</t>
  </si>
  <si>
    <t>10.87</t>
  </si>
  <si>
    <t>0.88 rad/s</t>
  </si>
  <si>
    <t>10.91</t>
  </si>
  <si>
    <t>(a) \(T = \dfrac{m r_1^2 v_1^2}{r^3}\)  (b) \(W = \dfrac{1}{2} m v_1^2 \left( \dfrac{r_1^2}{r_2^2} - 1 \right)\)  (c) The work done by the tension equals the change in kinetic energy of the block.</t>
  </si>
  <si>
    <t>(a) \( T(r) = \frac{m v_1^2 r_1^2}{r^3} \) (b) \( W = \frac{1}{2} m v_1^2 \left( \frac{r_1^2}{r_2^2} - 1 \right) \) (c) The work done equals the change in kinetic energy of the block.</t>
  </si>
  <si>
    <t>10.95</t>
  </si>
  <si>
    <t>10.97</t>
  </si>
  <si>
    <t>(a)</t>
  </si>
  <si>
    <t>11.1</t>
  </si>
  <si>
    <t>26.8 cm</t>
  </si>
  <si>
    <t>11.3</t>
  </si>
  <si>
    <t>1.44 m</t>
  </si>
  <si>
    <t>11.5</t>
  </si>
  <si>
    <t>9.70 cm</t>
  </si>
  <si>
    <t>11.9</t>
  </si>
  <si>
    <t>(a) 1070 N, 1.77 m from the end where the 370 N force is applied  (b) 860 N, 1.87 m from the end where the 370 N force is applied</t>
  </si>
  <si>
    <t>(a) 1070 N, 1.77 m  (b) 860 N, 1.87 m</t>
  </si>
  <si>
    <t>11.11</t>
  </si>
  <si>
    <t>(a) 505 N  (b) 0.690 m from cable A</t>
  </si>
  <si>
    <t>(a) 505 N (b) 0.690 m from cable A</t>
  </si>
  <si>
    <t>11.25</t>
  </si>
  <si>
    <t>6.12 kg</t>
  </si>
  <si>
    <t>11.27</t>
  </si>
  <si>
    <t>1.52 mm</t>
  </si>
  <si>
    <t>11.29</t>
  </si>
  <si>
    <t>3.87 × 10^11 Pa</t>
  </si>
  <si>
    <t>3.9e11 Pa</t>
  </si>
  <si>
    <t>11.31</t>
  </si>
  <si>
    <t>2.3 × 10^8 Pa</t>
  </si>
  <si>
    <t>2.1 × 10^8 Pa</t>
  </si>
  <si>
    <t>11.33</t>
  </si>
  <si>
    <t>(a) 222 atm  (b) 2250 m</t>
  </si>
  <si>
    <t>(a) 222 atm (b) 2250 m; no</t>
  </si>
  <si>
    <t>11.35</t>
  </si>
  <si>
    <t>5.0 × 10⁹ Pa, 2.0 × 10⁻¹⁰ Pa⁻¹</t>
  </si>
  <si>
    <t>11.41</t>
  </si>
  <si>
    <t>0.207 ∆p1</t>
  </si>
  <si>
    <t>Δp₁/4.5 (or equivalently (2/9)Δp₁)</t>
  </si>
  <si>
    <t>11.43</t>
  </si>
  <si>
    <t>7.89e7 Pa</t>
  </si>
  <si>
    <t>78.9 MPa</t>
  </si>
  <si>
    <t>11.57</t>
  </si>
  <si>
    <t>(a) θ = arctan(mg/(2T)) (b) ω = √(3g sin θ / L) = √(3mg² / (L √(4T² + m²g²)))</t>
  </si>
  <si>
    <t>(a) θ = arctan(mg/(2T)); (b) ω = √[3g sinθ / L] = √[3m g² / (L√(m²g² + 4T²))]</t>
  </si>
  <si>
    <t>11.59</t>
  </si>
  <si>
    <t>(a) β = tan⁻¹((1 - a)/a tan u); (b) a = 0.500; (c) β = 0°</t>
  </si>
  <si>
    <t>(a) \(\beta = \arctan\left(\frac{1-a}{a} \tan u\right)\)  (b) \(a = 0.5\)  (c) \(\beta = 0\)</t>
  </si>
  <si>
    <t>11.85</t>
  </si>
  <si>
    <t>(a) 4.2 × 10^4 N  (b) 65 m</t>
  </si>
  <si>
    <t>(a) 4.2 × 10^4 N (b) 66 m</t>
  </si>
  <si>
    <t>11.91</t>
  </si>
  <si>
    <t>(a) 6.62 × 10⁻⁴ m (0.662 mm)  (b) 0.0221 J  (c) 0.00833 J  (d) −0.0304 J  (e) 0.0304 J</t>
  </si>
  <si>
    <t xml:space="preserve">(a) 0.662 mm  (b) 0.0221 J  (c) 0.00833 J  (d) −0.0304 J  (e) 0.0304 J; </t>
  </si>
  <si>
    <t>12.1</t>
  </si>
  <si>
    <t>27.6 N</t>
  </si>
  <si>
    <t>12.3</t>
  </si>
  <si>
    <t>5.24 × 10^3 kg/m^3</t>
  </si>
  <si>
    <t>5240 kg/m^3</t>
  </si>
  <si>
    <t>12.5</t>
  </si>
  <si>
    <t>1.61</t>
  </si>
  <si>
    <t>12.7</t>
  </si>
  <si>
    <t>(a) 2.97 × 10⁶ Pa  (b) 294 m</t>
  </si>
  <si>
    <t>(a) 2.97 × 10^6 Pa  (b) 303 m</t>
  </si>
  <si>
    <t>12.9</t>
  </si>
  <si>
    <t>0.581 m</t>
  </si>
  <si>
    <t>12.11</t>
  </si>
  <si>
    <t>828 kg/m^3</t>
  </si>
  <si>
    <t>12.23</t>
  </si>
  <si>
    <t>10.3 m</t>
  </si>
  <si>
    <t>12.25</t>
  </si>
  <si>
    <t xml:space="preserve">Volume = 0.0898 m³, Average density = 1.02 × 10³ kg/m³  </t>
  </si>
  <si>
    <t xml:space="preserve">0.0898 m³, 1020 kg/m³; </t>
  </si>
  <si>
    <t>12.27</t>
  </si>
  <si>
    <t>0.117 m</t>
  </si>
  <si>
    <t>0.118 m</t>
  </si>
  <si>
    <t>12.29</t>
  </si>
  <si>
    <t>3.37 × 10⁻⁴ m³ (or 337 cm³), Density = 4.91 × 10³ kg/m³</t>
  </si>
  <si>
    <t>(a) 3.37 × 10⁻⁴ m³ (b) 4.91 × 10³ kg/m³</t>
  </si>
  <si>
    <t>12.31</t>
  </si>
  <si>
    <t>10.5 N</t>
  </si>
  <si>
    <t>12.35</t>
  </si>
  <si>
    <t>1.64 × 10^3 kg/m^3</t>
  </si>
  <si>
    <t>1640 kg/m³</t>
  </si>
  <si>
    <t>12.37</t>
  </si>
  <si>
    <t>262 N</t>
  </si>
  <si>
    <t>12.39</t>
  </si>
  <si>
    <t>16.8 m/s</t>
  </si>
  <si>
    <t>12.41</t>
  </si>
  <si>
    <t>(a) 34.6 m/s (b) 0.305 m</t>
  </si>
  <si>
    <t>(a) 34.6 m/s  (b) 0.305 m</t>
  </si>
  <si>
    <t>12.43</t>
  </si>
  <si>
    <t>(a) 7.07 × 10⁻⁴ m  (b) 40.7 s; yes</t>
  </si>
  <si>
    <t>(a) \(7.07 \times 10^{-4}\) m  (b) 40.7 s; yes</t>
  </si>
  <si>
    <t>12.45</t>
  </si>
  <si>
    <t>28.6 m/s</t>
  </si>
  <si>
    <t>12.47</t>
  </si>
  <si>
    <t>9.80 × 10^4 Pa</t>
  </si>
  <si>
    <t>98 kPa</t>
  </si>
  <si>
    <t>12.49</t>
  </si>
  <si>
    <t>2.03 × 10^4 Pa</t>
  </si>
  <si>
    <t>12.51</t>
  </si>
  <si>
    <t>2.25 × 10^5 Pa</t>
  </si>
  <si>
    <t>12.53</t>
  </si>
  <si>
    <t>\(\sqrt[4]{2} D\)</t>
  </si>
  <si>
    <t>2^{1/4} D</t>
  </si>
  <si>
    <t>12.55</t>
  </si>
  <si>
    <t>(a) 5.88 × 10^5 N  (b) 1.76 × 10^5 N</t>
  </si>
  <si>
    <t>(a) 5.88×10^5 N  (b) 1.76×10^5 N</t>
  </si>
  <si>
    <t>12.65</t>
  </si>
  <si>
    <t>(a) 0.0500 m³  (b) 10.0 kg</t>
  </si>
  <si>
    <t>12.71</t>
  </si>
  <si>
    <t>(a) 0.165 m  (b) 1.75 m</t>
  </si>
  <si>
    <t>(a) 0.165 m (b) 1.75 m</t>
  </si>
  <si>
    <t>12.79</t>
  </si>
  <si>
    <t>5.47 m</t>
  </si>
  <si>
    <t>12.89</t>
  </si>
  <si>
    <t>2.0 m</t>
  </si>
  <si>
    <t>12.91</t>
  </si>
  <si>
    <t>13.1</t>
  </si>
  <si>
    <t>2.2</t>
  </si>
  <si>
    <t>2.20</t>
  </si>
  <si>
    <t>13.3</t>
  </si>
  <si>
    <t>(a) 65 kg astronaut: 1.20 × 10⁻¹¹ m/s² toward the other; 72 kg astronaut: 1.08 × 10⁻¹¹ m/s² toward the other. (b) 15.3 days. (c) No</t>
  </si>
  <si>
    <t>(a) 65 kg: 1.20 × 10^{-11} m/s² toward the other; 72 kg: 1.08 × 10^{-11} m/s² toward the other (b) 15.3 days (c) No</t>
  </si>
  <si>
    <t>13.7</t>
  </si>
  <si>
    <t>(a) 2.40 × 10^{-3} N  (b) 3.50 × 10^{-6} times the force exerted by Earth (about 1/286</t>
  </si>
  <si>
    <t>(a) 0.0024 N  (b) 3.5 × 10^{-6} times the force of Earth</t>
  </si>
  <si>
    <t>13.9</t>
  </si>
  <si>
    <t>(a) 0.732 m from mass m (1.27 m from mass 3m)  (b) (i) unstable  (ii) stable</t>
  </si>
  <si>
    <t>(a) 3 - √3 ≈ 1.27 m from the 3m mass  (b) (i) unstable  (ii) stable</t>
  </si>
  <si>
    <t>13.11</t>
  </si>
  <si>
    <t>1.66 × 10^7 m</t>
  </si>
  <si>
    <t>1.66e7 m</t>
  </si>
  <si>
    <t>13.13</t>
  </si>
  <si>
    <t>(a) 0.37 m/s²  (b) 1.66 g/cm³</t>
  </si>
  <si>
    <t>(a) 0.369 m/s²  (b) 1660 kg/m³</t>
  </si>
  <si>
    <t>13.15</t>
  </si>
  <si>
    <t>(a) 12.3 m/s²  (b) decrease the average density to 0.80 times Earth’s density</t>
  </si>
  <si>
    <t>(a) 1.25g_E  (b) 0.8ρ_E</t>
  </si>
  <si>
    <t>13.19</t>
  </si>
  <si>
    <t>9.03 m/s^2</t>
  </si>
  <si>
    <t>13.21</t>
  </si>
  <si>
    <t>240 N</t>
  </si>
  <si>
    <t>13.25</t>
  </si>
  <si>
    <t>(a) 7.41 × 10^3 m/s  (b) 1.71 h</t>
  </si>
  <si>
    <t>(a) 7.41 km/s  (b) 1.71 h</t>
  </si>
  <si>
    <t>13.27</t>
  </si>
  <si>
    <t>6510 m/s</t>
  </si>
  <si>
    <t>13.29</t>
  </si>
  <si>
    <t>(a) 4.1 m/s; (b) 2.6 h</t>
  </si>
  <si>
    <t>(a) 4.08 m/s, yes  (b) 2.56 h, no</t>
  </si>
  <si>
    <t>13.31</t>
  </si>
  <si>
    <t>(a) 82.8 km/s  (b) 14.5 days</t>
  </si>
  <si>
    <t>(a) 83 km/s  (b) 14 days</t>
  </si>
  <si>
    <t>13.33</t>
  </si>
  <si>
    <t>(a) 7.84 × 10^9 s, 248 earth years  (b) closest = 4.44 × 10^12 m, farthest = 7.38 × 10^12 m</t>
  </si>
  <si>
    <t>(a) 7.84×109 s, 248 yr (b) 4.44×1012 m, 7.38×1012 m</t>
  </si>
  <si>
    <t>13.35</t>
  </si>
  <si>
    <t>(a) 0 N  (b) 1.07 × 10⁻¹² N  (c) 1.25 × 10⁻¹² N</t>
  </si>
  <si>
    <t>(a) 0 N  (b) 1.07 × 10^{-12} N  (c) 1.25 × 10^{-12} N</t>
  </si>
  <si>
    <t>13.37</t>
  </si>
  <si>
    <t xml:space="preserve">(a)(i) 5.32 × 10^{-9} N  (ii) 2.67 × 10^{-9} N  </t>
  </si>
  <si>
    <t>(a) (i) 5.32×10^{-9} N (ii) 2.67×10^{-9} N (b) For r &lt; R</t>
  </si>
  <si>
    <t>13.41</t>
  </si>
  <si>
    <t>(a) 50.3 N  (b) 48.9 N</t>
  </si>
  <si>
    <t>(a) 50 N (b) 49 N</t>
  </si>
  <si>
    <t>13.47</t>
  </si>
  <si>
    <t>(b) (i) speed of 50.0 kg sphere = 1.49 × 10⁻⁵ m/s, speed of 100.0 kg sphere = 7.46 × 10⁻⁶ m/s  (ii) 2.24 × 10⁻⁵ m/s
(c) 26.6 m</t>
  </si>
  <si>
    <t>(b) (i) 50.0 kg sphere: 1.49 × 10⁻⁵ m/s, 100.0 kg sphere: 7.46 × 10⁻⁶ m/s (ii) 2.24 × 10⁻⁵ m/s (c) 26.6 m</t>
  </si>
  <si>
    <t>13.49</t>
  </si>
  <si>
    <t>(a) 3.58 × 10⁷ m (about 35</t>
  </si>
  <si>
    <t>(a) 3.59 × 10^7 m (or 35</t>
  </si>
  <si>
    <t>13.51</t>
  </si>
  <si>
    <t>202 m/s</t>
  </si>
  <si>
    <t>13.55</t>
  </si>
  <si>
    <t>1.28 × 10^27 kg</t>
  </si>
  <si>
    <t>1.29 × 10^27 kg</t>
  </si>
  <si>
    <t>13.59</t>
  </si>
  <si>
    <t>4πGM</t>
  </si>
  <si>
    <t>13.61</t>
  </si>
  <si>
    <t>v = \sqrt{\frac{2G m_E h}{R_E(R_E + h)}}</t>
  </si>
  <si>
    <t>\(\sqrt{\frac{2 G m_{\text{E}} h}{R_{\text{E}} (R_{\text{E}} + h)}}\)</t>
  </si>
  <si>
    <t>13.63</t>
  </si>
  <si>
    <t>(a) F=4R2GM2​  (b) v=21​RGM​
​, T=4πGMR3​
​  (c) E=4RGM2​</t>
  </si>
  <si>
    <t>(a) 4R2GM2​  (b) v=4RGM​
​, T=4πGMR3​
​  (c) 4RGM2​</t>
  </si>
  <si>
    <t>13.69</t>
  </si>
  <si>
    <t>4.35 × 10^9 J</t>
  </si>
  <si>
    <t>4.35e9 J</t>
  </si>
  <si>
    <t>13.71</t>
  </si>
  <si>
    <t>7.75 m/s^2</t>
  </si>
  <si>
    <t>7.74 m/s^2</t>
  </si>
  <si>
    <t>14.1</t>
  </si>
  <si>
    <t xml:space="preserve">(a) T=2.15×10−3s, ω=2.93×103rad/s  (b) f=20.0Hz, ω=126rad/s  (c) T:1.34×10−15s to 2.33×10−15s, f:4.30×1014Hz to 7.48×1014Hz  (d) T=2.08×10−7s, ω=3.02×107rad/s
</t>
  </si>
  <si>
    <t>(a) 2.15×10⁻³ s, 2.93×10³ rad/s  (b) 20.0 Hz, 126 rad/s  (c) period: 1.34×10⁻¹⁵ s to 2.33×10⁻¹⁵ s; frequency: 4.30×10¹⁴ Hz to 7.48×10¹⁴ Hz  (d) 2.08×10⁻⁷ s, 3.02×10⁷ rad/s</t>
  </si>
  <si>
    <t>14.3</t>
  </si>
  <si>
    <t>5.53 × 10³ rad/s, 1.14 × 10⁻³ s</t>
  </si>
  <si>
    <t>(a) 1760π rad/s (≈ 5530 rad/s)  (b) 1.14 × 10⁻³ s</t>
  </si>
  <si>
    <t>14.5</t>
  </si>
  <si>
    <t>0.0490 s</t>
  </si>
  <si>
    <t>14.9</t>
  </si>
  <si>
    <t>(a) 0.161 s  (b) 39.0 rad/s  (c) 0.0843 kg</t>
  </si>
  <si>
    <t>14.11</t>
  </si>
  <si>
    <t>(a) 0.137 s  (b) 0.0683 s</t>
  </si>
  <si>
    <t>14.13</t>
  </si>
  <si>
    <t>(a) 0.980 m  (b) π/2 rad  (c) x(t) = 0.980 cos(12.2t + π/2) m (or equivalently x(t) = -0.980 sin(12.2t) m)</t>
  </si>
  <si>
    <t>(a) \(\frac{2\sqrt{6}}{5}\) m (≈ 0.980 m)  (b) \(\frac{\pi}{2}\) rad  (c) \(x(t) = \frac{2\sqrt{6}}{5} \cos\left(5\sqrt{6}\</t>
  </si>
  <si>
    <t>14.15</t>
  </si>
  <si>
    <t>(a) T/6  (b) T/12  (c) No</t>
  </si>
  <si>
    <t>(a) T/6 (b) T/12 (c) No</t>
  </si>
  <si>
    <t>14.23</t>
  </si>
  <si>
    <t>(a) j_x = v^3 A sin(vt) (b) x = 0 (c) x = 0 (d) x = ±A (e) T = 2π/5 s</t>
  </si>
  <si>
    <t>(a) jx = ω^3 A sin(ωt) (b) x = 0 (c) x = 0 (d) x = ±A (e) T = 2π/5 s</t>
  </si>
  <si>
    <t>14.25</t>
  </si>
  <si>
    <t>92.2 m/s^2</t>
  </si>
  <si>
    <t>14.27</t>
  </si>
  <si>
    <t>(a) 0.0306 J; (b) 0.0142 m; (c) 0.628 m/s</t>
  </si>
  <si>
    <t>(a) 0.0306 J (b) 0.0142 m (c) 0.628 m/s</t>
  </si>
  <si>
    <t>14.29</t>
  </si>
  <si>
    <t>(a) 1.2 m/s (b) 1.11 m/s (c) 36 m/s^2 (d) 13.5 m/s^2 (e) 0.36 J</t>
  </si>
  <si>
    <t>(a) 1.2 m/s (b) 1.11 m/s (c) 36 m/s² (d) 13.5 m/s² (e) 0.36 J</t>
  </si>
  <si>
    <t>14.31</t>
  </si>
  <si>
    <t>x = (√3/2)A</t>
  </si>
  <si>
    <t>(√3/2)A</t>
  </si>
  <si>
    <t>14.33</t>
  </si>
  <si>
    <t>0.240 m</t>
  </si>
  <si>
    <t>14.35</t>
  </si>
  <si>
    <t>(a) 0.376 m (b) 59.3 m/s² (c) 119 N</t>
  </si>
  <si>
    <t>14.37</t>
  </si>
  <si>
    <t>(a) 0.0348 m  (b) 1.10 m/s  (c) 31.6 rad/s</t>
  </si>
  <si>
    <t>(a) 3.48 cm  (b) 1.10 m/s  (c) 31.6 rad/s</t>
  </si>
  <si>
    <t>14.39</t>
  </si>
  <si>
    <t xml:space="preserve">(a) Elastic potential energy = 0, Kinetic energy = 0, Gravitational potential energy = 3.92 J, Sum = 3.92 J  (b) Elastic potential energy = 3.92 J, Kinetic energy = 0, Gravitational potential energy = 0, Sum = 3.92 J  (c) Elastic potential energy = 0.98 J, Kinetic energy = 0.98 J, Gravitational potential energy = 1.96 J, Sum = 3.92 J
</t>
  </si>
  <si>
    <t>(a) 0, 0, 3.92 J, 3.92 J (b) 3.92 J, 0, 0, 3.92 J (c) 0.98 J, 0.98 J, 1.96 J, 3.92 J</t>
  </si>
  <si>
    <t>14.43</t>
  </si>
  <si>
    <t>(a) 0.253 s (b) 0.253 s</t>
  </si>
  <si>
    <t>0.253 s for (a) and 0.253 s for (b)</t>
  </si>
  <si>
    <t>14.45</t>
  </si>
  <si>
    <t>0.407 Hz</t>
  </si>
  <si>
    <t>14.47</t>
  </si>
  <si>
    <t>13.1 m/s^2</t>
  </si>
  <si>
    <t>14.49</t>
  </si>
  <si>
    <t>(a) a=gsinu, directed tangent to the circular path (perpendicular to the rod)  (c) v=2gL(1−cosu)
​
​</t>
  </si>
  <si>
    <t>(a) gsinθ (c) 2gL(1−cosθ)
​</t>
  </si>
  <si>
    <t>14.51</t>
  </si>
  <si>
    <t>Pendulum A: \( T_A = 2\pi \sqrt{\frac{L}{g}} \); Pendulum B: \( T_B = 2\pi \sqrt{\frac{8L}{9g}} \). Pendulum A takes longer.</t>
  </si>
  <si>
    <t>TA​=2πL/g
​, TB​=2π8L/(9g)
​, Pendulum A takes longer</t>
  </si>
  <si>
    <t>14.55</t>
  </si>
  <si>
    <t>(sqrt(3)/2)v</t>
  </si>
  <si>
    <t>(√3/2)v</t>
  </si>
  <si>
    <t>14.57</t>
  </si>
  <si>
    <t>(a) 0.393 Hz  (b) 1.73 kg/s</t>
  </si>
  <si>
    <t>(a) 0.393 Hz (b) 1.73 kg/s</t>
  </si>
  <si>
    <t>14.59</t>
  </si>
  <si>
    <t>(a) A1/3  (b) 2A1</t>
  </si>
  <si>
    <t>14.61</t>
  </si>
  <si>
    <t>(a) 12 (b) 72</t>
  </si>
  <si>
    <t>(a) 12  (b) 72</t>
  </si>
  <si>
    <t>14.63</t>
  </si>
  <si>
    <t>0.387 m</t>
  </si>
  <si>
    <t>14.65</t>
  </si>
  <si>
    <t>(a) k₂ = 16k₁ (b) The maximum speed doubles.</t>
  </si>
  <si>
    <t>(a) k2 = 16k1 (b) The maximum speed doubles.</t>
  </si>
  <si>
    <t>14.67</t>
  </si>
  <si>
    <t>599 N/m</t>
  </si>
  <si>
    <t>14.71</t>
  </si>
  <si>
    <t>2.00 m</t>
  </si>
  <si>
    <t>14.75</t>
  </si>
  <si>
    <t>(a) 0.784 s  (b) −1.12 × 10⁻⁴ s/s, getting shorter  (c) 0.419 s</t>
  </si>
  <si>
    <t>(a) 0.784 s  (b) −1.12 × 10⁻⁴ s/s, shorter  (c) 0.419 s</t>
  </si>
  <si>
    <t>14.77</t>
  </si>
  <si>
    <t>(a) 0.150 m/s (b) 0.112 m/s² downward (c) 0.700 s (d) 4.38 m</t>
  </si>
  <si>
    <t>(a) 0.150 m/s  (b) 0.112 m/s² downward  (c) 0.700 s  (d) 4.38 m</t>
  </si>
  <si>
    <t>14.79</t>
  </si>
  <si>
    <t>(a) 2.57 m/s (b) 0.206 m (c) 0.487 s</t>
  </si>
  <si>
    <t>14.83</t>
  </si>
  <si>
    <t>0.474 s</t>
  </si>
  <si>
    <t>14.93</t>
  </si>
  <si>
    <t>(a) (1/6)Mv^2  (b) ω = √(k/m)  (c) M/3</t>
  </si>
  <si>
    <t>(a) \(\frac{1}{6} M v^2\)  (b) \(\omega = \sqrt{\frac{k}{m}}\)  (c) \(\omega = \sqrt{\frac{3k}{M}}\)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</si>
</sst>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'Century Schoolbook'"/>
    </font>
    <font>
      <b/>
      <sz val="10.0"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Alignment="1" applyFont="1">
      <alignment horizontal="left" readingOrder="0" shrinkToFit="0" wrapText="1"/>
    </xf>
    <xf borderId="0" fillId="0" fontId="1" numFmtId="10" xfId="0" applyAlignment="1" applyFont="1" applyNumberFormat="1">
      <alignment readingOrder="0" shrinkToFit="0" wrapText="1"/>
    </xf>
    <xf borderId="1" fillId="2" fontId="3" numFmtId="0" xfId="0" applyAlignment="1" applyBorder="1" applyFill="1" applyFont="1">
      <alignment horizontal="center" readingOrder="0" shrinkToFit="0" wrapText="1"/>
    </xf>
    <xf borderId="1" fillId="2" fontId="3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3" fontId="4" numFmtId="0" xfId="0" applyAlignment="1" applyFill="1" applyFont="1">
      <alignment readingOrder="0" shrinkToFit="0" vertical="top" wrapText="1"/>
    </xf>
    <xf borderId="0" fillId="3" fontId="4" numFmtId="0" xfId="0" applyAlignment="1" applyFont="1">
      <alignment shrinkToFit="0" vertical="top" wrapText="1"/>
    </xf>
    <xf borderId="0" fillId="3" fontId="1" numFmtId="0" xfId="0" applyFont="1"/>
    <xf borderId="0" fillId="4" fontId="4" numFmtId="0" xfId="0" applyAlignment="1" applyFill="1" applyFont="1">
      <alignment readingOrder="0" shrinkToFit="0" vertical="top" wrapText="1"/>
    </xf>
    <xf borderId="0" fillId="3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Chart1 DeepSeek Model Accuracy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DeepSeek V4 Pro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Sheet1!$D$23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Sheet1!$A$24:$A$38</c:f>
            </c:strRef>
          </c:cat>
          <c:val>
            <c:numRef>
              <c:f>Sheet1!$D$24:$D$38</c:f>
              <c:numCache/>
            </c:numRef>
          </c:val>
        </c:ser>
        <c:axId val="1489953916"/>
        <c:axId val="327057806"/>
      </c:barChart>
      <c:catAx>
        <c:axId val="1489953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Chapters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057806"/>
      </c:catAx>
      <c:valAx>
        <c:axId val="327057806"/>
        <c:scaling>
          <c:orientation val="minMax"/>
          <c:min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995391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DeepSeek V4 Flash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Sheet1!$A$42</c:f>
            </c:strRef>
          </c:tx>
          <c:spPr>
            <a:solidFill>
              <a:schemeClr val="accent2"/>
            </a:solidFill>
            <a:ln cmpd="sng">
              <a:noFill/>
            </a:ln>
          </c:spPr>
          <c:dPt>
            <c:idx val="4"/>
          </c:dPt>
          <c:cat>
            <c:strRef>
              <c:f>Sheet1!$B$43:$B$57</c:f>
            </c:strRef>
          </c:cat>
          <c:val>
            <c:numRef>
              <c:f>Sheet1!$A$43:$A$57</c:f>
              <c:numCache/>
            </c:numRef>
          </c:val>
        </c:ser>
        <c:axId val="1999719425"/>
        <c:axId val="1281886345"/>
      </c:barChart>
      <c:catAx>
        <c:axId val="1999719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Chapters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886345"/>
      </c:catAx>
      <c:valAx>
        <c:axId val="1281886345"/>
        <c:scaling>
          <c:orientation val="minMax"/>
          <c:min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71942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Head-to-Head Accuracy by Chapter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Sheet1!$N$1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Sheet1!$M$2:$M$5</c:f>
            </c:strRef>
          </c:cat>
          <c:val>
            <c:numRef>
              <c:f>Sheet1!$N$2:$N$5</c:f>
              <c:numCache/>
            </c:numRef>
          </c:val>
        </c:ser>
        <c:ser>
          <c:idx val="1"/>
          <c:order val="1"/>
          <c:tx>
            <c:strRef>
              <c:f>Sheet1!$O$1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Sheet1!$M$2:$M$5</c:f>
            </c:strRef>
          </c:cat>
          <c:val>
            <c:numRef>
              <c:f>Sheet1!$O$2:$O$5</c:f>
              <c:numCache/>
            </c:numRef>
          </c:val>
        </c:ser>
        <c:axId val="1130585161"/>
        <c:axId val="1862226627"/>
      </c:barChart>
      <c:catAx>
        <c:axId val="1130585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Chapter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226627"/>
      </c:catAx>
      <c:valAx>
        <c:axId val="1862226627"/>
        <c:scaling>
          <c:orientation val="minMax"/>
          <c:min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58516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Aggregate Percentage Comparison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DeepSeek Model Accuracy '!$B$3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'Chart1 DeepSeek Model Accuracy '!$A$4:$A$5</c:f>
            </c:strRef>
          </c:cat>
          <c:val>
            <c:numRef>
              <c:f>'Chart1 DeepSeek Model Accuracy '!$B$4:$B$5</c:f>
              <c:numCache/>
            </c:numRef>
          </c:val>
        </c:ser>
        <c:ser>
          <c:idx val="1"/>
          <c:order val="1"/>
          <c:tx>
            <c:strRef>
              <c:f>'Chart1 DeepSeek Model Accuracy '!$C$3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'Chart1 DeepSeek Model Accuracy '!$A$4:$A$5</c:f>
            </c:strRef>
          </c:cat>
          <c:val>
            <c:numRef>
              <c:f>'Chart1 DeepSeek Model Accuracy '!$C$4:$C$5</c:f>
              <c:numCache/>
            </c:numRef>
          </c:val>
        </c:ser>
        <c:overlap val="100"/>
        <c:axId val="519767914"/>
        <c:axId val="572583247"/>
      </c:barChart>
      <c:catAx>
        <c:axId val="519767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2583247"/>
      </c:catAx>
      <c:valAx>
        <c:axId val="572583247"/>
        <c:scaling>
          <c:orientation val="minMax"/>
          <c:min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7679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590550</xdr:colOff>
      <xdr:row>0</xdr:row>
      <xdr:rowOff>133350</xdr:rowOff>
    </xdr:from>
    <xdr:ext cx="2476500" cy="1657350"/>
    <xdr:graphicFrame>
      <xdr:nvGraphicFramePr>
        <xdr:cNvPr id="1" name="Chart 1" title="Chapter Accurac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619125</xdr:colOff>
      <xdr:row>0</xdr:row>
      <xdr:rowOff>133350</xdr:rowOff>
    </xdr:from>
    <xdr:ext cx="2733675" cy="1657350"/>
    <xdr:graphicFrame>
      <xdr:nvGraphicFramePr>
        <xdr:cNvPr id="2" name="Chart 2" title="DS V4 Flash Accuracy by Chapte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0</xdr:colOff>
      <xdr:row>1</xdr:row>
      <xdr:rowOff>0</xdr:rowOff>
    </xdr:from>
    <xdr:ext cx="5715000" cy="3533775"/>
    <xdr:graphicFrame>
      <xdr:nvGraphicFramePr>
        <xdr:cNvPr id="3" name="Chart 3" title="Head-to-Head Accuracy by Chapte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24275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C5" displayName="DeepSeek_Model_Accuracy_Comparison" name="DeepSeek_Model_Accuracy_Comparison" id="1">
  <tableColumns count="3">
    <tableColumn name="Model" id="1"/>
    <tableColumn name="DeepSeek V4 Pro" id="2"/>
    <tableColumn name="DeepSeek V4 Flash" id="3"/>
  </tableColumns>
  <tableStyleInfo name="Chart1 DeepSeek Model Accuracy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M1" s="2" t="s">
        <v>0</v>
      </c>
      <c r="N1" s="2" t="s">
        <v>2</v>
      </c>
      <c r="O1" s="2" t="s">
        <v>3</v>
      </c>
    </row>
    <row r="2">
      <c r="A2" s="1">
        <v>1.0</v>
      </c>
      <c r="B2" s="1">
        <v>30.0</v>
      </c>
      <c r="C2" s="1">
        <v>80.0</v>
      </c>
      <c r="D2" s="1">
        <v>83.33</v>
      </c>
      <c r="M2" s="2" t="s">
        <v>4</v>
      </c>
      <c r="N2" s="2">
        <v>80.0</v>
      </c>
      <c r="O2" s="2">
        <v>83.33</v>
      </c>
    </row>
    <row r="3">
      <c r="A3" s="1">
        <v>2.0</v>
      </c>
      <c r="B3" s="1">
        <v>37.0</v>
      </c>
      <c r="C3" s="1">
        <v>97.14</v>
      </c>
      <c r="D3" s="1">
        <v>97.14</v>
      </c>
      <c r="M3" s="2" t="s">
        <v>5</v>
      </c>
      <c r="N3" s="2">
        <v>100.0</v>
      </c>
      <c r="O3" s="2">
        <v>95.24</v>
      </c>
    </row>
    <row r="4">
      <c r="A4" s="1">
        <v>3.0</v>
      </c>
      <c r="B4" s="1">
        <v>30.0</v>
      </c>
      <c r="C4" s="1">
        <v>80.0</v>
      </c>
      <c r="D4" s="1">
        <v>80.0</v>
      </c>
      <c r="M4" s="2" t="s">
        <v>6</v>
      </c>
      <c r="N4" s="2">
        <v>97.94</v>
      </c>
      <c r="O4" s="2">
        <v>89.47</v>
      </c>
    </row>
    <row r="5">
      <c r="A5" s="1">
        <v>4.0</v>
      </c>
      <c r="B5" s="1">
        <v>21.0</v>
      </c>
      <c r="C5" s="1">
        <v>100.0</v>
      </c>
      <c r="D5" s="1">
        <v>95.24</v>
      </c>
      <c r="M5" s="2" t="s">
        <v>7</v>
      </c>
      <c r="N5" s="2">
        <v>100.0</v>
      </c>
      <c r="O5" s="2">
        <v>94.12</v>
      </c>
    </row>
    <row r="6">
      <c r="A6" s="1">
        <v>5.0</v>
      </c>
      <c r="B6" s="1">
        <v>24.0</v>
      </c>
      <c r="C6" s="1">
        <v>95.83</v>
      </c>
      <c r="D6" s="1">
        <v>95.83</v>
      </c>
    </row>
    <row r="7">
      <c r="A7" s="1">
        <v>6.0</v>
      </c>
      <c r="B7" s="1">
        <v>38.0</v>
      </c>
      <c r="C7" s="1">
        <v>97.94</v>
      </c>
      <c r="D7" s="1">
        <v>89.47</v>
      </c>
    </row>
    <row r="8">
      <c r="A8" s="1">
        <v>7.0</v>
      </c>
      <c r="B8" s="1">
        <v>29.0</v>
      </c>
      <c r="C8" s="1">
        <v>100.0</v>
      </c>
      <c r="D8" s="1">
        <v>100.0</v>
      </c>
    </row>
    <row r="9">
      <c r="A9" s="1">
        <v>8.0</v>
      </c>
      <c r="B9" s="1">
        <v>34.0</v>
      </c>
      <c r="C9" s="1">
        <v>97.06</v>
      </c>
      <c r="D9" s="1">
        <v>97.06</v>
      </c>
    </row>
    <row r="10">
      <c r="A10" s="1">
        <v>9.0</v>
      </c>
      <c r="B10" s="1">
        <v>37.0</v>
      </c>
      <c r="C10" s="1">
        <v>100.0</v>
      </c>
      <c r="D10" s="1">
        <v>100.0</v>
      </c>
    </row>
    <row r="11">
      <c r="A11" s="1">
        <v>10.0</v>
      </c>
      <c r="B11" s="1">
        <v>31.0</v>
      </c>
      <c r="C11" s="1">
        <v>100.0</v>
      </c>
      <c r="D11" s="1">
        <v>100.0</v>
      </c>
    </row>
    <row r="12">
      <c r="A12" s="1">
        <v>11.0</v>
      </c>
      <c r="B12" s="1">
        <v>17.0</v>
      </c>
      <c r="C12" s="1">
        <v>100.0</v>
      </c>
      <c r="D12" s="1">
        <v>94.12</v>
      </c>
    </row>
    <row r="13">
      <c r="A13" s="1">
        <v>12.0</v>
      </c>
      <c r="B13" s="1">
        <v>27.0</v>
      </c>
      <c r="C13" s="1">
        <v>96.3</v>
      </c>
      <c r="D13" s="1">
        <v>96.3</v>
      </c>
    </row>
    <row r="14">
      <c r="A14" s="1">
        <v>13.0</v>
      </c>
      <c r="B14" s="1">
        <v>27.0</v>
      </c>
      <c r="C14" s="1">
        <v>100.0</v>
      </c>
      <c r="D14" s="1">
        <v>100.0</v>
      </c>
    </row>
    <row r="15">
      <c r="A15" s="1">
        <v>14.0</v>
      </c>
      <c r="B15" s="1">
        <v>34.0</v>
      </c>
      <c r="C15" s="1">
        <v>97.06</v>
      </c>
      <c r="D15" s="1">
        <v>97.06</v>
      </c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1" t="s">
        <v>8</v>
      </c>
      <c r="B18" s="1" t="s">
        <v>9</v>
      </c>
      <c r="C18" s="1" t="s">
        <v>10</v>
      </c>
      <c r="D18" s="1" t="s">
        <v>11</v>
      </c>
      <c r="E18" s="2" t="s">
        <v>12</v>
      </c>
      <c r="F18" s="2" t="s">
        <v>13</v>
      </c>
      <c r="G18" s="2" t="s">
        <v>14</v>
      </c>
      <c r="H18" s="2" t="s">
        <v>15</v>
      </c>
    </row>
    <row r="19">
      <c r="A19" s="1" t="s">
        <v>16</v>
      </c>
      <c r="B19" s="1">
        <v>416.0</v>
      </c>
      <c r="C19" s="1">
        <v>397.0</v>
      </c>
      <c r="D19" s="1">
        <v>97.71</v>
      </c>
      <c r="E19" s="4">
        <f t="shared" ref="E19:E20" si="1">C19/B19</f>
        <v>0.9543269231</v>
      </c>
      <c r="F19" s="4">
        <f t="shared" ref="F19:F20" si="2">((E19+(1.96^2)/(2*B19))-1.96*SQRT((E19*(1-E19)/B19)+((1.96^2)/(4*B19^2))))/(1+(1.96^2)/B19)</f>
        <v>0.9297710417</v>
      </c>
      <c r="G19" s="4">
        <f t="shared" ref="G19:G20" si="3">((E19+(1.96^2)/(2*B19))+1.96*SQRT((E19*(1-E19)/B19)+((1.96^2)/(4*B19^2))))/(1+(1.96^2)/B19)</f>
        <v>0.970568515</v>
      </c>
      <c r="H19" s="4" t="str">
        <f t="shared" ref="H19:H20" si="4">ROUND(F19*100, 2) &amp; "%" &amp; "–" &amp; ROUND(G19*100, 2) &amp; "%"</f>
        <v>92.98%–97.06%</v>
      </c>
    </row>
    <row r="20">
      <c r="A20" s="1" t="s">
        <v>17</v>
      </c>
      <c r="B20" s="1">
        <v>416.0</v>
      </c>
      <c r="C20" s="1">
        <v>394.0</v>
      </c>
      <c r="D20" s="1">
        <v>95.43</v>
      </c>
      <c r="E20" s="4">
        <f t="shared" si="1"/>
        <v>0.9471153846</v>
      </c>
      <c r="F20" s="4">
        <f t="shared" si="2"/>
        <v>0.9212286502</v>
      </c>
      <c r="G20" s="4">
        <f t="shared" si="3"/>
        <v>0.9648198023</v>
      </c>
      <c r="H20" s="4" t="str">
        <f t="shared" si="4"/>
        <v>92.12%–96.48%</v>
      </c>
    </row>
    <row r="21">
      <c r="A21" s="3"/>
      <c r="B21" s="3"/>
      <c r="C21" s="3"/>
      <c r="D21" s="3"/>
    </row>
    <row r="22">
      <c r="A22" s="1" t="s">
        <v>18</v>
      </c>
      <c r="B22" s="3"/>
      <c r="C22" s="3"/>
      <c r="D22" s="3"/>
    </row>
    <row r="23">
      <c r="A23" s="1" t="s">
        <v>19</v>
      </c>
      <c r="B23" s="2" t="s">
        <v>20</v>
      </c>
      <c r="C23" s="2" t="s">
        <v>21</v>
      </c>
      <c r="D23" s="1" t="s">
        <v>22</v>
      </c>
      <c r="E23" s="2" t="s">
        <v>12</v>
      </c>
      <c r="F23" s="2" t="s">
        <v>13</v>
      </c>
      <c r="G23" s="2" t="s">
        <v>14</v>
      </c>
      <c r="H23" s="2" t="s">
        <v>15</v>
      </c>
    </row>
    <row r="24">
      <c r="A24" s="1">
        <v>1.0</v>
      </c>
      <c r="B24" s="5">
        <v>30.0</v>
      </c>
      <c r="C24" s="5">
        <v>24.0</v>
      </c>
      <c r="D24" s="5">
        <v>80.0</v>
      </c>
      <c r="E24" s="4">
        <f t="shared" ref="E24:E38" si="5">C24/B24</f>
        <v>0.8</v>
      </c>
      <c r="F24" s="4">
        <f t="shared" ref="F24:F38" si="6">((E24+(1.96^2)/(2*B24))-1.96*SQRT((E24*(1-E24)/B24)+((1.96^2)/(4*B24^2))))/(1+(1.96^2)/B24)</f>
        <v>0.6269395262</v>
      </c>
      <c r="G24" s="4">
        <f t="shared" ref="G24:G38" si="7">((E24+(1.96^2)/(2*B24))+1.96*SQRT((E24*(1-E24)/B24)+((1.96^2)/(4*B24^2))))/(1+(1.96^2)/B24)</f>
        <v>0.904950219</v>
      </c>
      <c r="H24" s="4" t="str">
        <f t="shared" ref="H24:H38" si="8">ROUND(F24*100, 2) &amp; "%" &amp; "–" &amp; ROUND(G24*100, 2) &amp; "%"</f>
        <v>62.69%–90.5%</v>
      </c>
    </row>
    <row r="25">
      <c r="A25" s="1">
        <v>2.0</v>
      </c>
      <c r="B25" s="5">
        <v>37.0</v>
      </c>
      <c r="C25" s="5">
        <v>36.0</v>
      </c>
      <c r="D25" s="5">
        <v>97.14</v>
      </c>
      <c r="E25" s="4">
        <f t="shared" si="5"/>
        <v>0.972972973</v>
      </c>
      <c r="F25" s="4">
        <f t="shared" si="6"/>
        <v>0.8617562156</v>
      </c>
      <c r="G25" s="4">
        <f t="shared" si="7"/>
        <v>0.9952131489</v>
      </c>
      <c r="H25" s="4" t="str">
        <f t="shared" si="8"/>
        <v>86.18%–99.52%</v>
      </c>
    </row>
    <row r="26">
      <c r="A26" s="1">
        <v>3.0</v>
      </c>
      <c r="B26" s="5">
        <v>30.0</v>
      </c>
      <c r="C26" s="5">
        <v>24.0</v>
      </c>
      <c r="D26" s="5">
        <v>80.0</v>
      </c>
      <c r="E26" s="4">
        <f t="shared" si="5"/>
        <v>0.8</v>
      </c>
      <c r="F26" s="4">
        <f t="shared" si="6"/>
        <v>0.6269395262</v>
      </c>
      <c r="G26" s="4">
        <f t="shared" si="7"/>
        <v>0.904950219</v>
      </c>
      <c r="H26" s="4" t="str">
        <f t="shared" si="8"/>
        <v>62.69%–90.5%</v>
      </c>
    </row>
    <row r="27">
      <c r="A27" s="1">
        <v>4.0</v>
      </c>
      <c r="B27" s="5">
        <v>21.0</v>
      </c>
      <c r="C27" s="5">
        <v>21.0</v>
      </c>
      <c r="D27" s="5">
        <v>100.0</v>
      </c>
      <c r="E27" s="4">
        <f t="shared" si="5"/>
        <v>1</v>
      </c>
      <c r="F27" s="4">
        <f t="shared" si="6"/>
        <v>0.8453561767</v>
      </c>
      <c r="G27" s="4">
        <f t="shared" si="7"/>
        <v>1</v>
      </c>
      <c r="H27" s="4" t="str">
        <f t="shared" si="8"/>
        <v>84.54%–100%</v>
      </c>
    </row>
    <row r="28">
      <c r="A28" s="1">
        <v>5.0</v>
      </c>
      <c r="B28" s="5">
        <v>24.0</v>
      </c>
      <c r="C28" s="5">
        <v>23.0</v>
      </c>
      <c r="D28" s="5">
        <v>95.83</v>
      </c>
      <c r="E28" s="4">
        <f t="shared" si="5"/>
        <v>0.9583333333</v>
      </c>
      <c r="F28" s="4">
        <f t="shared" si="6"/>
        <v>0.7975777375</v>
      </c>
      <c r="G28" s="4">
        <f t="shared" si="7"/>
        <v>0.9926067346</v>
      </c>
      <c r="H28" s="4" t="str">
        <f t="shared" si="8"/>
        <v>79.76%–99.26%</v>
      </c>
    </row>
    <row r="29">
      <c r="A29" s="1">
        <v>6.0</v>
      </c>
      <c r="B29" s="5">
        <v>38.0</v>
      </c>
      <c r="C29" s="5">
        <v>36.0</v>
      </c>
      <c r="D29" s="5">
        <v>97.74</v>
      </c>
      <c r="E29" s="4">
        <f t="shared" si="5"/>
        <v>0.9473684211</v>
      </c>
      <c r="F29" s="4">
        <f t="shared" si="6"/>
        <v>0.8271423312</v>
      </c>
      <c r="G29" s="4">
        <f t="shared" si="7"/>
        <v>0.9854460976</v>
      </c>
      <c r="H29" s="4" t="str">
        <f t="shared" si="8"/>
        <v>82.71%–98.54%</v>
      </c>
    </row>
    <row r="30">
      <c r="A30" s="1">
        <v>7.0</v>
      </c>
      <c r="B30" s="5">
        <v>29.0</v>
      </c>
      <c r="C30" s="5">
        <v>29.0</v>
      </c>
      <c r="D30" s="5">
        <v>100.0</v>
      </c>
      <c r="E30" s="4">
        <f t="shared" si="5"/>
        <v>1</v>
      </c>
      <c r="F30" s="4">
        <f t="shared" si="6"/>
        <v>0.8830264055</v>
      </c>
      <c r="G30" s="4">
        <f t="shared" si="7"/>
        <v>1</v>
      </c>
      <c r="H30" s="4" t="str">
        <f t="shared" si="8"/>
        <v>88.3%–100%</v>
      </c>
    </row>
    <row r="31">
      <c r="A31" s="1">
        <v>8.0</v>
      </c>
      <c r="B31" s="5">
        <v>34.0</v>
      </c>
      <c r="C31" s="5">
        <v>33.0</v>
      </c>
      <c r="D31" s="5">
        <v>97.06</v>
      </c>
      <c r="E31" s="4">
        <f t="shared" si="5"/>
        <v>0.9705882353</v>
      </c>
      <c r="F31" s="4">
        <f t="shared" si="6"/>
        <v>0.8508409778</v>
      </c>
      <c r="G31" s="4">
        <f t="shared" si="7"/>
        <v>0.9947892281</v>
      </c>
      <c r="H31" s="4" t="str">
        <f t="shared" si="8"/>
        <v>85.08%–99.48%</v>
      </c>
    </row>
    <row r="32">
      <c r="A32" s="1">
        <v>9.0</v>
      </c>
      <c r="B32" s="5">
        <v>37.0</v>
      </c>
      <c r="C32" s="5">
        <v>37.0</v>
      </c>
      <c r="D32" s="5">
        <v>100.0</v>
      </c>
      <c r="E32" s="4">
        <f t="shared" si="5"/>
        <v>1</v>
      </c>
      <c r="F32" s="4">
        <f t="shared" si="6"/>
        <v>0.9059390425</v>
      </c>
      <c r="G32" s="4">
        <f t="shared" si="7"/>
        <v>1</v>
      </c>
      <c r="H32" s="4" t="str">
        <f t="shared" si="8"/>
        <v>90.59%–100%</v>
      </c>
    </row>
    <row r="33">
      <c r="A33" s="1">
        <v>10.0</v>
      </c>
      <c r="B33" s="5">
        <v>31.0</v>
      </c>
      <c r="C33" s="5">
        <v>31.0</v>
      </c>
      <c r="D33" s="5">
        <v>100.0</v>
      </c>
      <c r="E33" s="4">
        <f t="shared" si="5"/>
        <v>1</v>
      </c>
      <c r="F33" s="4">
        <f t="shared" si="6"/>
        <v>0.8897409993</v>
      </c>
      <c r="G33" s="4">
        <f t="shared" si="7"/>
        <v>1</v>
      </c>
      <c r="H33" s="4" t="str">
        <f t="shared" si="8"/>
        <v>88.97%–100%</v>
      </c>
    </row>
    <row r="34">
      <c r="A34" s="1">
        <v>11.0</v>
      </c>
      <c r="B34" s="5">
        <v>17.0</v>
      </c>
      <c r="C34" s="5">
        <v>17.0</v>
      </c>
      <c r="D34" s="5">
        <v>100.0</v>
      </c>
      <c r="E34" s="4">
        <f t="shared" si="5"/>
        <v>1</v>
      </c>
      <c r="F34" s="4">
        <f t="shared" si="6"/>
        <v>0.8156763396</v>
      </c>
      <c r="G34" s="4">
        <f t="shared" si="7"/>
        <v>1</v>
      </c>
      <c r="H34" s="4" t="str">
        <f t="shared" si="8"/>
        <v>81.57%–100%</v>
      </c>
    </row>
    <row r="35">
      <c r="A35" s="1">
        <v>12.0</v>
      </c>
      <c r="B35" s="5">
        <v>27.0</v>
      </c>
      <c r="C35" s="5">
        <v>26.0</v>
      </c>
      <c r="D35" s="5">
        <v>96.3</v>
      </c>
      <c r="E35" s="4">
        <f t="shared" si="5"/>
        <v>0.962962963</v>
      </c>
      <c r="F35" s="4">
        <f t="shared" si="6"/>
        <v>0.8171614607</v>
      </c>
      <c r="G35" s="4">
        <f t="shared" si="7"/>
        <v>0.9934320235</v>
      </c>
      <c r="H35" s="4" t="str">
        <f t="shared" si="8"/>
        <v>81.72%–99.34%</v>
      </c>
    </row>
    <row r="36">
      <c r="A36" s="1">
        <v>13.0</v>
      </c>
      <c r="B36" s="5">
        <v>27.0</v>
      </c>
      <c r="C36" s="5">
        <v>27.0</v>
      </c>
      <c r="D36" s="5">
        <v>100.0</v>
      </c>
      <c r="E36" s="4">
        <f t="shared" si="5"/>
        <v>1</v>
      </c>
      <c r="F36" s="4">
        <f t="shared" si="6"/>
        <v>0.8754409629</v>
      </c>
      <c r="G36" s="4">
        <f t="shared" si="7"/>
        <v>1</v>
      </c>
      <c r="H36" s="4" t="str">
        <f t="shared" si="8"/>
        <v>87.54%–100%</v>
      </c>
    </row>
    <row r="37">
      <c r="A37" s="1">
        <v>14.0</v>
      </c>
      <c r="B37" s="5">
        <v>34.0</v>
      </c>
      <c r="C37" s="5">
        <v>33.0</v>
      </c>
      <c r="D37" s="5">
        <v>97.06</v>
      </c>
      <c r="E37" s="4">
        <f t="shared" si="5"/>
        <v>0.9705882353</v>
      </c>
      <c r="F37" s="4">
        <f t="shared" si="6"/>
        <v>0.8508409778</v>
      </c>
      <c r="G37" s="4">
        <f t="shared" si="7"/>
        <v>0.9947892281</v>
      </c>
      <c r="H37" s="4" t="str">
        <f t="shared" si="8"/>
        <v>85.08%–99.48%</v>
      </c>
    </row>
    <row r="38">
      <c r="A38" s="1" t="s">
        <v>23</v>
      </c>
      <c r="B38" s="5">
        <v>416.0</v>
      </c>
      <c r="C38" s="5">
        <v>397.0</v>
      </c>
      <c r="D38" s="6">
        <v>0.9543</v>
      </c>
      <c r="E38" s="4">
        <f t="shared" si="5"/>
        <v>0.9543269231</v>
      </c>
      <c r="F38" s="4">
        <f t="shared" si="6"/>
        <v>0.9297710417</v>
      </c>
      <c r="G38" s="4">
        <f t="shared" si="7"/>
        <v>0.970568515</v>
      </c>
      <c r="H38" s="4" t="str">
        <f t="shared" si="8"/>
        <v>92.98%–97.06%</v>
      </c>
    </row>
    <row r="39">
      <c r="A39" s="3"/>
      <c r="B39" s="3"/>
      <c r="C39" s="3"/>
      <c r="D39" s="3"/>
    </row>
    <row r="40">
      <c r="A40" s="3"/>
      <c r="B40" s="3"/>
      <c r="C40" s="3"/>
      <c r="D40" s="3"/>
    </row>
    <row r="41">
      <c r="A41" s="1" t="s">
        <v>24</v>
      </c>
      <c r="B41" s="3"/>
      <c r="C41" s="3"/>
      <c r="D41" s="3"/>
    </row>
    <row r="42">
      <c r="A42" s="1" t="s">
        <v>19</v>
      </c>
      <c r="B42" s="2" t="s">
        <v>20</v>
      </c>
      <c r="C42" s="2" t="s">
        <v>21</v>
      </c>
      <c r="D42" s="1" t="s">
        <v>22</v>
      </c>
      <c r="E42" s="2" t="s">
        <v>12</v>
      </c>
      <c r="F42" s="2" t="s">
        <v>13</v>
      </c>
      <c r="G42" s="2" t="s">
        <v>14</v>
      </c>
      <c r="H42" s="2" t="s">
        <v>15</v>
      </c>
    </row>
    <row r="43">
      <c r="A43" s="1">
        <v>1.0</v>
      </c>
      <c r="B43" s="5">
        <v>30.0</v>
      </c>
      <c r="C43" s="5">
        <v>25.0</v>
      </c>
      <c r="D43" s="5">
        <v>83.33</v>
      </c>
      <c r="E43" s="4">
        <f t="shared" ref="E43:E57" si="9">C43/B43</f>
        <v>0.8333333333</v>
      </c>
      <c r="F43" s="4">
        <f t="shared" ref="F43:F57" si="10">((E43+(1.96^2)/(2*B43))-1.96*SQRT((E43*(1-E43)/B43)+((1.96^2)/(4*B43^2))))/(1+(1.96^2)/B43)</f>
        <v>0.6643529481</v>
      </c>
      <c r="G43" s="4">
        <f t="shared" ref="G43:G57" si="11">((E43+(1.96^2)/(2*B43))+1.96*SQRT((E43*(1-E43)/B43)+((1.96^2)/(4*B43^2))))/(1+(1.96^2)/B43)</f>
        <v>0.9266356576</v>
      </c>
      <c r="H43" s="4" t="str">
        <f t="shared" ref="H43:H57" si="12">ROUND(F43*100, 2) &amp; "%" &amp; "–" &amp; ROUND(G43*100, 2) &amp; "%"</f>
        <v>66.44%–92.66%</v>
      </c>
    </row>
    <row r="44">
      <c r="A44" s="1">
        <v>2.0</v>
      </c>
      <c r="B44" s="5">
        <v>36.0</v>
      </c>
      <c r="C44" s="5">
        <v>35.0</v>
      </c>
      <c r="D44" s="5">
        <v>97.14</v>
      </c>
      <c r="E44" s="4">
        <f t="shared" si="9"/>
        <v>0.9722222222</v>
      </c>
      <c r="F44" s="4">
        <f t="shared" si="10"/>
        <v>0.8582996626</v>
      </c>
      <c r="G44" s="4">
        <f t="shared" si="11"/>
        <v>0.9950797197</v>
      </c>
      <c r="H44" s="4" t="str">
        <f t="shared" si="12"/>
        <v>85.83%–99.51%</v>
      </c>
    </row>
    <row r="45">
      <c r="A45" s="1">
        <v>3.0</v>
      </c>
      <c r="B45" s="5">
        <v>30.0</v>
      </c>
      <c r="C45" s="5">
        <v>24.0</v>
      </c>
      <c r="D45" s="5">
        <v>80.0</v>
      </c>
      <c r="E45" s="4">
        <f t="shared" si="9"/>
        <v>0.8</v>
      </c>
      <c r="F45" s="4">
        <f t="shared" si="10"/>
        <v>0.6269395262</v>
      </c>
      <c r="G45" s="4">
        <f t="shared" si="11"/>
        <v>0.904950219</v>
      </c>
      <c r="H45" s="4" t="str">
        <f t="shared" si="12"/>
        <v>62.69%–90.5%</v>
      </c>
    </row>
    <row r="46">
      <c r="A46" s="1">
        <v>4.0</v>
      </c>
      <c r="B46" s="5">
        <v>21.0</v>
      </c>
      <c r="C46" s="5">
        <v>20.0</v>
      </c>
      <c r="D46" s="5">
        <v>95.24</v>
      </c>
      <c r="E46" s="4">
        <f t="shared" si="9"/>
        <v>0.9523809524</v>
      </c>
      <c r="F46" s="4">
        <f t="shared" si="10"/>
        <v>0.7733018341</v>
      </c>
      <c r="G46" s="4">
        <f t="shared" si="11"/>
        <v>0.9915442305</v>
      </c>
      <c r="H46" s="4" t="str">
        <f t="shared" si="12"/>
        <v>77.33%–99.15%</v>
      </c>
    </row>
    <row r="47">
      <c r="A47" s="1">
        <v>5.0</v>
      </c>
      <c r="B47" s="5">
        <v>24.0</v>
      </c>
      <c r="C47" s="5">
        <v>23.0</v>
      </c>
      <c r="D47" s="5">
        <v>95.83</v>
      </c>
      <c r="E47" s="4">
        <f t="shared" si="9"/>
        <v>0.9583333333</v>
      </c>
      <c r="F47" s="4">
        <f t="shared" si="10"/>
        <v>0.7975777375</v>
      </c>
      <c r="G47" s="4">
        <f t="shared" si="11"/>
        <v>0.9926067346</v>
      </c>
      <c r="H47" s="4" t="str">
        <f t="shared" si="12"/>
        <v>79.76%–99.26%</v>
      </c>
    </row>
    <row r="48">
      <c r="A48" s="1">
        <v>6.0</v>
      </c>
      <c r="B48" s="5">
        <v>38.0</v>
      </c>
      <c r="C48" s="5">
        <v>34.0</v>
      </c>
      <c r="D48" s="5">
        <v>89.47</v>
      </c>
      <c r="E48" s="4">
        <f t="shared" si="9"/>
        <v>0.8947368421</v>
      </c>
      <c r="F48" s="4">
        <f t="shared" si="10"/>
        <v>0.758691688</v>
      </c>
      <c r="G48" s="4">
        <f t="shared" si="11"/>
        <v>0.9582981021</v>
      </c>
      <c r="H48" s="4" t="str">
        <f t="shared" si="12"/>
        <v>75.87%–95.83%</v>
      </c>
    </row>
    <row r="49">
      <c r="A49" s="1">
        <v>7.0</v>
      </c>
      <c r="B49" s="5">
        <v>29.0</v>
      </c>
      <c r="C49" s="5">
        <v>29.0</v>
      </c>
      <c r="D49" s="5">
        <v>100.0</v>
      </c>
      <c r="E49" s="4">
        <f t="shared" si="9"/>
        <v>1</v>
      </c>
      <c r="F49" s="4">
        <f t="shared" si="10"/>
        <v>0.8830264055</v>
      </c>
      <c r="G49" s="4">
        <f t="shared" si="11"/>
        <v>1</v>
      </c>
      <c r="H49" s="4" t="str">
        <f t="shared" si="12"/>
        <v>88.3%–100%</v>
      </c>
    </row>
    <row r="50">
      <c r="A50" s="1">
        <v>8.0</v>
      </c>
      <c r="B50" s="5">
        <v>34.0</v>
      </c>
      <c r="C50" s="5">
        <v>33.0</v>
      </c>
      <c r="D50" s="5">
        <v>97.06</v>
      </c>
      <c r="E50" s="4">
        <f t="shared" si="9"/>
        <v>0.9705882353</v>
      </c>
      <c r="F50" s="4">
        <f t="shared" si="10"/>
        <v>0.8508409778</v>
      </c>
      <c r="G50" s="4">
        <f t="shared" si="11"/>
        <v>0.9947892281</v>
      </c>
      <c r="H50" s="4" t="str">
        <f t="shared" si="12"/>
        <v>85.08%–99.48%</v>
      </c>
    </row>
    <row r="51">
      <c r="A51" s="1">
        <v>9.0</v>
      </c>
      <c r="B51" s="5">
        <v>37.0</v>
      </c>
      <c r="C51" s="5">
        <v>37.0</v>
      </c>
      <c r="D51" s="5">
        <v>100.0</v>
      </c>
      <c r="E51" s="4">
        <f t="shared" si="9"/>
        <v>1</v>
      </c>
      <c r="F51" s="4">
        <f t="shared" si="10"/>
        <v>0.9059390425</v>
      </c>
      <c r="G51" s="4">
        <f t="shared" si="11"/>
        <v>1</v>
      </c>
      <c r="H51" s="4" t="str">
        <f t="shared" si="12"/>
        <v>90.59%–100%</v>
      </c>
    </row>
    <row r="52">
      <c r="A52" s="1">
        <v>10.0</v>
      </c>
      <c r="B52" s="5">
        <v>31.0</v>
      </c>
      <c r="C52" s="5">
        <v>31.0</v>
      </c>
      <c r="D52" s="5">
        <v>100.0</v>
      </c>
      <c r="E52" s="4">
        <f t="shared" si="9"/>
        <v>1</v>
      </c>
      <c r="F52" s="4">
        <f t="shared" si="10"/>
        <v>0.8897409993</v>
      </c>
      <c r="G52" s="4">
        <f t="shared" si="11"/>
        <v>1</v>
      </c>
      <c r="H52" s="4" t="str">
        <f t="shared" si="12"/>
        <v>88.97%–100%</v>
      </c>
    </row>
    <row r="53">
      <c r="A53" s="1">
        <v>11.0</v>
      </c>
      <c r="B53" s="5">
        <v>17.0</v>
      </c>
      <c r="C53" s="5">
        <v>16.0</v>
      </c>
      <c r="D53" s="5">
        <v>94.12</v>
      </c>
      <c r="E53" s="4">
        <f t="shared" si="9"/>
        <v>0.9411764706</v>
      </c>
      <c r="F53" s="4">
        <f t="shared" si="10"/>
        <v>0.730174548</v>
      </c>
      <c r="G53" s="4">
        <f t="shared" si="11"/>
        <v>0.9895398694</v>
      </c>
      <c r="H53" s="4" t="str">
        <f t="shared" si="12"/>
        <v>73.02%–98.95%</v>
      </c>
    </row>
    <row r="54">
      <c r="A54" s="1">
        <v>12.0</v>
      </c>
      <c r="B54" s="5">
        <v>27.0</v>
      </c>
      <c r="C54" s="5">
        <v>26.0</v>
      </c>
      <c r="D54" s="5">
        <v>96.3</v>
      </c>
      <c r="E54" s="4">
        <f t="shared" si="9"/>
        <v>0.962962963</v>
      </c>
      <c r="F54" s="4">
        <f t="shared" si="10"/>
        <v>0.8171614607</v>
      </c>
      <c r="G54" s="4">
        <f t="shared" si="11"/>
        <v>0.9934320235</v>
      </c>
      <c r="H54" s="4" t="str">
        <f t="shared" si="12"/>
        <v>81.72%–99.34%</v>
      </c>
    </row>
    <row r="55">
      <c r="A55" s="1">
        <v>13.0</v>
      </c>
      <c r="B55" s="5">
        <v>27.0</v>
      </c>
      <c r="C55" s="5">
        <v>27.0</v>
      </c>
      <c r="D55" s="5">
        <v>100.0</v>
      </c>
      <c r="E55" s="4">
        <f t="shared" si="9"/>
        <v>1</v>
      </c>
      <c r="F55" s="4">
        <f t="shared" si="10"/>
        <v>0.8754409629</v>
      </c>
      <c r="G55" s="4">
        <f t="shared" si="11"/>
        <v>1</v>
      </c>
      <c r="H55" s="4" t="str">
        <f t="shared" si="12"/>
        <v>87.54%–100%</v>
      </c>
    </row>
    <row r="56">
      <c r="A56" s="1">
        <v>14.0</v>
      </c>
      <c r="B56" s="5">
        <v>34.0</v>
      </c>
      <c r="C56" s="5">
        <v>33.0</v>
      </c>
      <c r="D56" s="5">
        <v>97.06</v>
      </c>
      <c r="E56" s="4">
        <f t="shared" si="9"/>
        <v>0.9705882353</v>
      </c>
      <c r="F56" s="4">
        <f t="shared" si="10"/>
        <v>0.8508409778</v>
      </c>
      <c r="G56" s="4">
        <f t="shared" si="11"/>
        <v>0.9947892281</v>
      </c>
      <c r="H56" s="4" t="str">
        <f t="shared" si="12"/>
        <v>85.08%–99.48%</v>
      </c>
    </row>
    <row r="57">
      <c r="A57" s="5" t="s">
        <v>23</v>
      </c>
      <c r="B57" s="1">
        <v>416.0</v>
      </c>
      <c r="C57" s="1">
        <v>394.0</v>
      </c>
      <c r="D57" s="1">
        <v>94.71</v>
      </c>
      <c r="E57" s="4">
        <f t="shared" si="9"/>
        <v>0.9471153846</v>
      </c>
      <c r="F57" s="4">
        <f t="shared" si="10"/>
        <v>0.9212286502</v>
      </c>
      <c r="G57" s="4">
        <f t="shared" si="11"/>
        <v>0.9648198023</v>
      </c>
      <c r="H57" s="4" t="str">
        <f t="shared" si="12"/>
        <v>92.12%–96.48%</v>
      </c>
    </row>
    <row r="58">
      <c r="A58" s="3"/>
      <c r="B58" s="3"/>
      <c r="C58" s="3"/>
      <c r="D58" s="3"/>
    </row>
    <row r="59">
      <c r="A59" s="3"/>
      <c r="B59" s="3"/>
      <c r="C59" s="3"/>
      <c r="D59" s="3"/>
    </row>
    <row r="60">
      <c r="A60" s="3"/>
      <c r="B60" s="3"/>
      <c r="C60" s="3"/>
      <c r="D60" s="3"/>
    </row>
    <row r="61">
      <c r="A61" s="3"/>
      <c r="B61" s="3"/>
      <c r="C61" s="3"/>
      <c r="D61" s="3"/>
    </row>
    <row r="62">
      <c r="A62" s="3"/>
      <c r="B62" s="3"/>
      <c r="C62" s="3"/>
      <c r="D62" s="3"/>
    </row>
    <row r="63">
      <c r="A63" s="3"/>
      <c r="B63" s="3"/>
      <c r="C63" s="3"/>
      <c r="D63" s="3"/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  <row r="1001">
      <c r="A1001" s="3"/>
      <c r="B1001" s="3"/>
      <c r="C1001" s="3"/>
      <c r="D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25</v>
      </c>
      <c r="B1" s="7" t="s">
        <v>26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1.0</v>
      </c>
      <c r="B2" s="9" t="s">
        <v>32</v>
      </c>
      <c r="C2" s="9" t="s">
        <v>33</v>
      </c>
      <c r="D2" s="9" t="b">
        <v>0</v>
      </c>
      <c r="E2" s="9" t="s">
        <v>33</v>
      </c>
      <c r="F2" s="9" t="b">
        <v>0</v>
      </c>
      <c r="G2" s="9"/>
    </row>
    <row r="3">
      <c r="A3" s="9">
        <v>1.0</v>
      </c>
      <c r="B3" s="9" t="s">
        <v>34</v>
      </c>
      <c r="C3" s="9" t="s">
        <v>35</v>
      </c>
      <c r="D3" s="10" t="b">
        <v>1</v>
      </c>
      <c r="E3" s="9" t="s">
        <v>36</v>
      </c>
      <c r="F3" s="10" t="b">
        <v>1</v>
      </c>
      <c r="G3" s="9"/>
    </row>
    <row r="4">
      <c r="A4" s="9">
        <v>1.0</v>
      </c>
      <c r="B4" s="9" t="s">
        <v>37</v>
      </c>
      <c r="C4" s="9" t="s">
        <v>38</v>
      </c>
      <c r="D4" s="10" t="b">
        <v>1</v>
      </c>
      <c r="E4" s="9" t="s">
        <v>39</v>
      </c>
      <c r="F4" s="10" t="b">
        <v>1</v>
      </c>
      <c r="G4" s="9"/>
    </row>
    <row r="5">
      <c r="A5" s="9">
        <v>1.0</v>
      </c>
      <c r="B5" s="9" t="s">
        <v>40</v>
      </c>
      <c r="C5" s="9" t="s">
        <v>41</v>
      </c>
      <c r="D5" s="10" t="b">
        <v>1</v>
      </c>
      <c r="E5" s="9" t="s">
        <v>41</v>
      </c>
      <c r="F5" s="10" t="b">
        <v>1</v>
      </c>
      <c r="G5" s="9"/>
    </row>
    <row r="6">
      <c r="A6" s="9">
        <v>1.0</v>
      </c>
      <c r="B6" s="9" t="s">
        <v>42</v>
      </c>
      <c r="C6" s="9" t="s">
        <v>43</v>
      </c>
      <c r="D6" s="10" t="b">
        <v>1</v>
      </c>
      <c r="E6" s="9" t="s">
        <v>43</v>
      </c>
      <c r="F6" s="10" t="b">
        <v>1</v>
      </c>
      <c r="G6" s="9"/>
    </row>
    <row r="7">
      <c r="A7" s="9">
        <v>1.0</v>
      </c>
      <c r="B7" s="9" t="s">
        <v>44</v>
      </c>
      <c r="C7" s="9" t="s">
        <v>45</v>
      </c>
      <c r="D7" s="10" t="b">
        <v>1</v>
      </c>
      <c r="E7" s="9" t="s">
        <v>46</v>
      </c>
      <c r="F7" s="10" t="b">
        <v>1</v>
      </c>
      <c r="G7" s="9"/>
    </row>
    <row r="8">
      <c r="A8" s="9">
        <v>1.0</v>
      </c>
      <c r="B8" s="9" t="s">
        <v>47</v>
      </c>
      <c r="C8" s="9" t="s">
        <v>48</v>
      </c>
      <c r="D8" s="10" t="b">
        <v>1</v>
      </c>
      <c r="E8" s="9" t="s">
        <v>48</v>
      </c>
      <c r="F8" s="10" t="b">
        <v>1</v>
      </c>
      <c r="G8" s="9"/>
    </row>
    <row r="9">
      <c r="A9" s="9">
        <v>1.0</v>
      </c>
      <c r="B9" s="9" t="s">
        <v>49</v>
      </c>
      <c r="C9" s="9" t="s">
        <v>50</v>
      </c>
      <c r="D9" s="10" t="b">
        <v>1</v>
      </c>
      <c r="E9" s="9" t="s">
        <v>51</v>
      </c>
      <c r="F9" s="10" t="b">
        <v>1</v>
      </c>
      <c r="G9" s="9"/>
    </row>
    <row r="10">
      <c r="A10" s="9">
        <v>1.0</v>
      </c>
      <c r="B10" s="9" t="s">
        <v>52</v>
      </c>
      <c r="C10" s="9" t="s">
        <v>53</v>
      </c>
      <c r="D10" s="9" t="b">
        <v>0</v>
      </c>
      <c r="E10" s="9" t="s">
        <v>53</v>
      </c>
      <c r="F10" s="9" t="b">
        <v>0</v>
      </c>
      <c r="G10" s="9"/>
    </row>
    <row r="11">
      <c r="A11" s="9">
        <v>1.0</v>
      </c>
      <c r="B11" s="9" t="s">
        <v>54</v>
      </c>
      <c r="C11" s="9" t="s">
        <v>55</v>
      </c>
      <c r="D11" s="10" t="b">
        <v>1</v>
      </c>
      <c r="E11" s="11" t="s">
        <v>56</v>
      </c>
      <c r="F11" s="10" t="b">
        <v>1</v>
      </c>
      <c r="G11" s="9"/>
    </row>
    <row r="12">
      <c r="A12" s="9">
        <v>1.0</v>
      </c>
      <c r="B12" s="9" t="s">
        <v>57</v>
      </c>
      <c r="C12" s="10" t="s">
        <v>58</v>
      </c>
      <c r="D12" s="10" t="b">
        <v>1</v>
      </c>
      <c r="E12" s="9" t="s">
        <v>58</v>
      </c>
      <c r="F12" s="10" t="b">
        <v>1</v>
      </c>
      <c r="G12" s="9"/>
    </row>
    <row r="13">
      <c r="A13" s="9">
        <v>1.0</v>
      </c>
      <c r="B13" s="9" t="s">
        <v>59</v>
      </c>
      <c r="C13" s="11" t="s">
        <v>60</v>
      </c>
      <c r="D13" s="9" t="b">
        <v>0</v>
      </c>
      <c r="E13" s="11" t="s">
        <v>60</v>
      </c>
      <c r="F13" s="9" t="b">
        <v>0</v>
      </c>
      <c r="G13" s="9"/>
    </row>
    <row r="14">
      <c r="A14" s="9">
        <v>1.0</v>
      </c>
      <c r="B14" s="9" t="s">
        <v>61</v>
      </c>
      <c r="C14" s="11" t="s">
        <v>62</v>
      </c>
      <c r="D14" s="9" t="b">
        <v>0</v>
      </c>
      <c r="E14" s="11" t="s">
        <v>63</v>
      </c>
      <c r="F14" s="9" t="b">
        <v>0</v>
      </c>
      <c r="G14" s="9"/>
    </row>
    <row r="15">
      <c r="A15" s="9">
        <v>1.0</v>
      </c>
      <c r="B15" s="9" t="s">
        <v>64</v>
      </c>
      <c r="C15" s="12" t="s">
        <v>65</v>
      </c>
      <c r="D15" s="9" t="b">
        <v>0</v>
      </c>
      <c r="E15" s="9" t="s">
        <v>66</v>
      </c>
      <c r="F15" s="10" t="b">
        <v>1</v>
      </c>
      <c r="G15" s="9"/>
    </row>
    <row r="16">
      <c r="A16" s="9">
        <v>1.0</v>
      </c>
      <c r="B16" s="9" t="s">
        <v>67</v>
      </c>
      <c r="C16" s="9" t="s">
        <v>68</v>
      </c>
      <c r="D16" s="10" t="b">
        <v>1</v>
      </c>
      <c r="E16" s="9" t="s">
        <v>68</v>
      </c>
      <c r="F16" s="10" t="b">
        <v>1</v>
      </c>
      <c r="G16" s="9"/>
    </row>
    <row r="17">
      <c r="A17" s="9">
        <v>1.0</v>
      </c>
      <c r="B17" s="9" t="s">
        <v>69</v>
      </c>
      <c r="C17" s="10" t="s">
        <v>70</v>
      </c>
      <c r="D17" s="10" t="b">
        <v>1</v>
      </c>
      <c r="E17" s="11" t="s">
        <v>71</v>
      </c>
      <c r="F17" s="10" t="b">
        <v>1</v>
      </c>
      <c r="G17" s="9"/>
    </row>
    <row r="18" ht="15.75" customHeight="1">
      <c r="A18" s="9">
        <v>1.0</v>
      </c>
      <c r="B18" s="9" t="s">
        <v>72</v>
      </c>
      <c r="C18" s="11" t="s">
        <v>73</v>
      </c>
      <c r="D18" s="10" t="b">
        <v>1</v>
      </c>
      <c r="E18" s="11" t="s">
        <v>74</v>
      </c>
      <c r="F18" s="10" t="b">
        <v>1</v>
      </c>
      <c r="G18" s="9"/>
    </row>
    <row r="19" ht="15.75" customHeight="1">
      <c r="A19" s="9">
        <v>1.0</v>
      </c>
      <c r="B19" s="9" t="s">
        <v>75</v>
      </c>
      <c r="C19" s="9" t="s">
        <v>76</v>
      </c>
      <c r="D19" s="10" t="b">
        <v>1</v>
      </c>
      <c r="E19" s="9" t="s">
        <v>77</v>
      </c>
      <c r="F19" s="10" t="b">
        <v>1</v>
      </c>
      <c r="G19" s="9"/>
    </row>
    <row r="20" ht="15.75" customHeight="1">
      <c r="A20" s="9">
        <v>1.0</v>
      </c>
      <c r="B20" s="9" t="s">
        <v>78</v>
      </c>
      <c r="C20" s="11" t="s">
        <v>79</v>
      </c>
      <c r="D20" s="10" t="b">
        <v>1</v>
      </c>
      <c r="E20" s="11" t="s">
        <v>79</v>
      </c>
      <c r="F20" s="10" t="b">
        <v>1</v>
      </c>
      <c r="G20" s="9"/>
    </row>
    <row r="21" ht="15.75" customHeight="1">
      <c r="A21" s="9">
        <v>1.0</v>
      </c>
      <c r="B21" s="9" t="s">
        <v>80</v>
      </c>
      <c r="C21" s="11" t="s">
        <v>81</v>
      </c>
      <c r="D21" s="10" t="b">
        <v>1</v>
      </c>
      <c r="E21" s="11" t="s">
        <v>82</v>
      </c>
      <c r="F21" s="10" t="b">
        <v>1</v>
      </c>
      <c r="G21" s="9"/>
    </row>
    <row r="22" ht="15.75" customHeight="1">
      <c r="A22" s="9">
        <v>1.0</v>
      </c>
      <c r="B22" s="9" t="s">
        <v>83</v>
      </c>
      <c r="C22" s="11" t="s">
        <v>84</v>
      </c>
      <c r="D22" s="11" t="b">
        <v>1</v>
      </c>
      <c r="E22" s="9" t="s">
        <v>85</v>
      </c>
      <c r="F22" s="10" t="b">
        <v>1</v>
      </c>
      <c r="G22" s="9"/>
    </row>
    <row r="23" ht="15.75" customHeight="1">
      <c r="A23" s="9">
        <v>1.0</v>
      </c>
      <c r="B23" s="9" t="s">
        <v>86</v>
      </c>
      <c r="C23" s="11" t="s">
        <v>87</v>
      </c>
      <c r="D23" s="10" t="b">
        <v>1</v>
      </c>
      <c r="E23" s="9" t="s">
        <v>88</v>
      </c>
      <c r="F23" s="10" t="b">
        <v>1</v>
      </c>
      <c r="G23" s="9"/>
    </row>
    <row r="24" ht="15.75" customHeight="1">
      <c r="A24" s="9">
        <v>1.0</v>
      </c>
      <c r="B24" s="9" t="s">
        <v>89</v>
      </c>
      <c r="C24" s="11" t="s">
        <v>90</v>
      </c>
      <c r="D24" s="10" t="b">
        <v>1</v>
      </c>
      <c r="E24" s="9" t="s">
        <v>91</v>
      </c>
      <c r="F24" s="10" t="b">
        <v>1</v>
      </c>
      <c r="G24" s="9"/>
    </row>
    <row r="25" ht="15.75" customHeight="1">
      <c r="A25" s="9">
        <v>1.0</v>
      </c>
      <c r="B25" s="9" t="s">
        <v>92</v>
      </c>
      <c r="C25" s="9" t="s">
        <v>93</v>
      </c>
      <c r="D25" s="10" t="b">
        <v>1</v>
      </c>
      <c r="E25" s="9" t="s">
        <v>93</v>
      </c>
      <c r="F25" s="10" t="b">
        <v>1</v>
      </c>
      <c r="G25" s="9"/>
    </row>
    <row r="26" ht="15.75" customHeight="1">
      <c r="A26" s="12">
        <v>1.0</v>
      </c>
      <c r="B26" s="12" t="s">
        <v>94</v>
      </c>
      <c r="C26" s="11" t="s">
        <v>95</v>
      </c>
      <c r="D26" s="11" t="b">
        <v>1</v>
      </c>
      <c r="E26" s="11" t="s">
        <v>95</v>
      </c>
      <c r="F26" s="11" t="b">
        <v>1</v>
      </c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9">
        <v>1.0</v>
      </c>
      <c r="B27" s="9" t="s">
        <v>96</v>
      </c>
      <c r="C27" s="9" t="s">
        <v>97</v>
      </c>
      <c r="D27" s="10" t="b">
        <v>1</v>
      </c>
      <c r="E27" s="9" t="s">
        <v>97</v>
      </c>
      <c r="F27" s="10" t="b">
        <v>1</v>
      </c>
      <c r="G27" s="9"/>
    </row>
    <row r="28" ht="15.75" customHeight="1">
      <c r="A28" s="9">
        <v>1.0</v>
      </c>
      <c r="B28" s="9" t="s">
        <v>98</v>
      </c>
      <c r="C28" s="11" t="s">
        <v>99</v>
      </c>
      <c r="D28" s="9" t="b">
        <v>0</v>
      </c>
      <c r="E28" s="11" t="s">
        <v>100</v>
      </c>
      <c r="F28" s="9" t="b">
        <v>0</v>
      </c>
      <c r="G28" s="9"/>
    </row>
    <row r="29" ht="15.75" customHeight="1">
      <c r="A29" s="9">
        <v>1.0</v>
      </c>
      <c r="B29" s="9" t="s">
        <v>101</v>
      </c>
      <c r="C29" s="9" t="s">
        <v>102</v>
      </c>
      <c r="D29" s="10" t="b">
        <v>1</v>
      </c>
      <c r="E29" s="9" t="s">
        <v>102</v>
      </c>
      <c r="F29" s="10" t="b">
        <v>1</v>
      </c>
      <c r="G29" s="9"/>
    </row>
    <row r="30" ht="15.75" customHeight="1">
      <c r="A30" s="9">
        <v>1.0</v>
      </c>
      <c r="B30" s="9" t="s">
        <v>103</v>
      </c>
      <c r="C30" s="9" t="s">
        <v>104</v>
      </c>
      <c r="D30" s="10" t="b">
        <v>1</v>
      </c>
      <c r="E30" s="9" t="s">
        <v>104</v>
      </c>
      <c r="F30" s="10" t="b">
        <v>1</v>
      </c>
      <c r="G30" s="9"/>
    </row>
    <row r="31" ht="15.75" customHeight="1">
      <c r="A31" s="9">
        <v>1.0</v>
      </c>
      <c r="B31" s="9" t="s">
        <v>105</v>
      </c>
      <c r="C31" s="9" t="s">
        <v>106</v>
      </c>
      <c r="D31" s="10" t="b">
        <v>1</v>
      </c>
      <c r="E31" s="10" t="s">
        <v>107</v>
      </c>
      <c r="F31" s="11" t="b">
        <v>1</v>
      </c>
      <c r="G31" s="9"/>
    </row>
    <row r="32" ht="15.75" customHeight="1">
      <c r="C32" s="3"/>
      <c r="D32" s="3" t="b">
        <v>0</v>
      </c>
      <c r="E32" s="3"/>
      <c r="F32" s="3" t="b">
        <v>0</v>
      </c>
      <c r="G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2.0</v>
      </c>
      <c r="B2" s="9" t="s">
        <v>109</v>
      </c>
      <c r="C2" s="9" t="s">
        <v>110</v>
      </c>
      <c r="D2" s="10" t="b">
        <v>1</v>
      </c>
      <c r="E2" s="9" t="s">
        <v>110</v>
      </c>
      <c r="F2" s="10" t="b">
        <v>1</v>
      </c>
      <c r="G2" s="9"/>
    </row>
    <row r="3">
      <c r="A3" s="9">
        <v>2.0</v>
      </c>
      <c r="B3" s="9" t="s">
        <v>111</v>
      </c>
      <c r="C3" s="9" t="s">
        <v>112</v>
      </c>
      <c r="D3" s="10" t="b">
        <v>1</v>
      </c>
      <c r="E3" s="9" t="s">
        <v>112</v>
      </c>
      <c r="F3" s="10" t="b">
        <v>1</v>
      </c>
      <c r="G3" s="9"/>
    </row>
    <row r="4">
      <c r="A4" s="9">
        <v>2.0</v>
      </c>
      <c r="B4" s="9" t="s">
        <v>113</v>
      </c>
      <c r="C4" s="9" t="s">
        <v>114</v>
      </c>
      <c r="D4" s="10" t="b">
        <v>1</v>
      </c>
      <c r="E4" s="9" t="s">
        <v>114</v>
      </c>
      <c r="F4" s="10" t="b">
        <v>1</v>
      </c>
      <c r="G4" s="9"/>
    </row>
    <row r="5">
      <c r="A5" s="9">
        <v>2.0</v>
      </c>
      <c r="B5" s="9" t="s">
        <v>115</v>
      </c>
      <c r="C5" s="11" t="s">
        <v>116</v>
      </c>
      <c r="D5" s="10" t="b">
        <v>1</v>
      </c>
      <c r="E5" s="11" t="s">
        <v>117</v>
      </c>
      <c r="F5" s="10" t="b">
        <v>1</v>
      </c>
      <c r="G5" s="9"/>
    </row>
    <row r="6">
      <c r="A6" s="9">
        <v>2.0</v>
      </c>
      <c r="B6" s="9" t="s">
        <v>118</v>
      </c>
      <c r="C6" s="14" t="s">
        <v>119</v>
      </c>
      <c r="D6" s="10" t="b">
        <v>1</v>
      </c>
      <c r="E6" s="14" t="s">
        <v>120</v>
      </c>
      <c r="F6" s="10" t="b">
        <v>1</v>
      </c>
      <c r="G6" s="9"/>
    </row>
    <row r="7">
      <c r="A7" s="9">
        <v>2.0</v>
      </c>
      <c r="B7" s="9" t="s">
        <v>121</v>
      </c>
      <c r="C7" s="9" t="s">
        <v>122</v>
      </c>
      <c r="D7" s="10" t="b">
        <v>1</v>
      </c>
      <c r="E7" s="9" t="s">
        <v>123</v>
      </c>
      <c r="F7" s="10" t="b">
        <v>1</v>
      </c>
      <c r="G7" s="9"/>
    </row>
    <row r="8">
      <c r="A8" s="9">
        <v>2.0</v>
      </c>
      <c r="B8" s="9" t="s">
        <v>124</v>
      </c>
      <c r="C8" s="10" t="s">
        <v>125</v>
      </c>
      <c r="D8" s="10" t="b">
        <v>1</v>
      </c>
      <c r="E8" s="10" t="s">
        <v>126</v>
      </c>
      <c r="F8" s="10" t="b">
        <v>1</v>
      </c>
      <c r="G8" s="9"/>
    </row>
    <row r="9">
      <c r="A9" s="9">
        <v>2.0</v>
      </c>
      <c r="B9" s="9" t="s">
        <v>127</v>
      </c>
      <c r="C9" s="9" t="s">
        <v>128</v>
      </c>
      <c r="D9" s="10" t="b">
        <v>1</v>
      </c>
      <c r="E9" s="9" t="s">
        <v>129</v>
      </c>
      <c r="F9" s="10" t="b">
        <v>1</v>
      </c>
      <c r="G9" s="9"/>
    </row>
    <row r="10">
      <c r="A10" s="9">
        <v>2.0</v>
      </c>
      <c r="B10" s="9" t="s">
        <v>130</v>
      </c>
      <c r="C10" s="9" t="s">
        <v>131</v>
      </c>
      <c r="D10" s="10" t="b">
        <v>1</v>
      </c>
      <c r="E10" s="9" t="s">
        <v>131</v>
      </c>
      <c r="F10" s="10" t="b">
        <v>1</v>
      </c>
      <c r="G10" s="9"/>
    </row>
    <row r="11">
      <c r="A11" s="9">
        <v>2.0</v>
      </c>
      <c r="B11" s="9" t="s">
        <v>132</v>
      </c>
      <c r="C11" s="9" t="s">
        <v>133</v>
      </c>
      <c r="D11" s="10" t="b">
        <v>1</v>
      </c>
      <c r="E11" s="9" t="s">
        <v>133</v>
      </c>
      <c r="F11" s="10" t="b">
        <v>1</v>
      </c>
      <c r="G11" s="9"/>
    </row>
    <row r="12">
      <c r="A12" s="9">
        <v>2.0</v>
      </c>
      <c r="B12" s="9" t="s">
        <v>134</v>
      </c>
      <c r="C12" s="9" t="s">
        <v>135</v>
      </c>
      <c r="D12" s="10" t="b">
        <v>1</v>
      </c>
      <c r="E12" s="9" t="s">
        <v>136</v>
      </c>
      <c r="F12" s="10" t="b">
        <v>1</v>
      </c>
      <c r="G12" s="9"/>
    </row>
    <row r="13">
      <c r="A13" s="9">
        <v>2.0</v>
      </c>
      <c r="B13" s="9" t="s">
        <v>137</v>
      </c>
      <c r="C13" s="11" t="s">
        <v>138</v>
      </c>
      <c r="D13" s="10" t="b">
        <v>1</v>
      </c>
      <c r="E13" s="11" t="s">
        <v>139</v>
      </c>
      <c r="F13" s="10" t="b">
        <v>1</v>
      </c>
      <c r="G13" s="9"/>
    </row>
    <row r="14">
      <c r="A14" s="9">
        <v>2.0</v>
      </c>
      <c r="B14" s="9" t="s">
        <v>140</v>
      </c>
      <c r="C14" s="9" t="s">
        <v>141</v>
      </c>
      <c r="D14" s="10" t="b">
        <v>1</v>
      </c>
      <c r="E14" s="9" t="s">
        <v>142</v>
      </c>
      <c r="F14" s="10" t="b">
        <v>1</v>
      </c>
      <c r="G14" s="9"/>
    </row>
    <row r="15">
      <c r="A15" s="9">
        <v>2.0</v>
      </c>
      <c r="B15" s="9" t="s">
        <v>143</v>
      </c>
      <c r="C15" s="9" t="s">
        <v>144</v>
      </c>
      <c r="D15" s="10" t="b">
        <v>1</v>
      </c>
      <c r="E15" s="9" t="s">
        <v>144</v>
      </c>
      <c r="F15" s="10" t="b">
        <v>1</v>
      </c>
      <c r="G15" s="9"/>
    </row>
    <row r="16">
      <c r="A16" s="9">
        <v>2.0</v>
      </c>
      <c r="B16" s="9" t="s">
        <v>145</v>
      </c>
      <c r="C16" s="9" t="s">
        <v>146</v>
      </c>
      <c r="D16" s="10" t="b">
        <v>1</v>
      </c>
      <c r="E16" s="9" t="s">
        <v>147</v>
      </c>
      <c r="F16" s="10" t="b">
        <v>1</v>
      </c>
      <c r="G16" s="9"/>
    </row>
    <row r="17">
      <c r="A17" s="9">
        <v>2.0</v>
      </c>
      <c r="B17" s="9" t="s">
        <v>148</v>
      </c>
      <c r="C17" s="9" t="s">
        <v>149</v>
      </c>
      <c r="D17" s="10" t="b">
        <v>1</v>
      </c>
      <c r="E17" s="9" t="s">
        <v>149</v>
      </c>
      <c r="F17" s="10" t="b">
        <v>1</v>
      </c>
      <c r="G17" s="9"/>
    </row>
    <row r="18">
      <c r="A18" s="9">
        <v>2.0</v>
      </c>
      <c r="B18" s="9" t="s">
        <v>150</v>
      </c>
      <c r="C18" s="10" t="s">
        <v>151</v>
      </c>
      <c r="D18" s="10" t="b">
        <v>1</v>
      </c>
      <c r="E18" s="11" t="s">
        <v>151</v>
      </c>
      <c r="F18" s="11" t="b">
        <v>1</v>
      </c>
      <c r="G18" s="9"/>
    </row>
    <row r="19">
      <c r="A19" s="9">
        <v>2.0</v>
      </c>
      <c r="B19" s="9" t="s">
        <v>152</v>
      </c>
      <c r="C19" s="9" t="s">
        <v>153</v>
      </c>
      <c r="D19" s="10" t="b">
        <v>1</v>
      </c>
      <c r="E19" s="9" t="s">
        <v>153</v>
      </c>
      <c r="F19" s="10" t="b">
        <v>1</v>
      </c>
      <c r="G19" s="9"/>
    </row>
    <row r="20">
      <c r="A20" s="9">
        <v>2.0</v>
      </c>
      <c r="B20" s="9" t="s">
        <v>154</v>
      </c>
      <c r="C20" s="9" t="s">
        <v>155</v>
      </c>
      <c r="D20" s="10" t="b">
        <v>1</v>
      </c>
      <c r="E20" s="9" t="s">
        <v>156</v>
      </c>
      <c r="F20" s="10" t="b">
        <v>1</v>
      </c>
      <c r="G20" s="9"/>
    </row>
    <row r="21" ht="15.75" customHeight="1">
      <c r="A21" s="9">
        <v>2.0</v>
      </c>
      <c r="B21" s="9" t="s">
        <v>157</v>
      </c>
      <c r="C21" s="9" t="s">
        <v>158</v>
      </c>
      <c r="D21" s="10" t="b">
        <v>1</v>
      </c>
      <c r="E21" s="9" t="s">
        <v>158</v>
      </c>
      <c r="F21" s="10" t="b">
        <v>1</v>
      </c>
      <c r="G21" s="9"/>
    </row>
    <row r="22" ht="15.75" customHeight="1">
      <c r="A22" s="9">
        <v>2.0</v>
      </c>
      <c r="B22" s="9" t="s">
        <v>159</v>
      </c>
      <c r="C22" s="11" t="s">
        <v>160</v>
      </c>
      <c r="D22" s="10" t="b">
        <v>1</v>
      </c>
      <c r="E22" s="11" t="s">
        <v>161</v>
      </c>
      <c r="F22" s="10" t="b">
        <v>1</v>
      </c>
      <c r="G22" s="9"/>
    </row>
    <row r="23" ht="15.75" customHeight="1">
      <c r="A23" s="9">
        <v>2.0</v>
      </c>
      <c r="B23" s="9" t="s">
        <v>162</v>
      </c>
      <c r="C23" s="9" t="s">
        <v>163</v>
      </c>
      <c r="D23" s="10" t="b">
        <v>1</v>
      </c>
      <c r="E23" s="9" t="s">
        <v>164</v>
      </c>
      <c r="F23" s="10" t="b">
        <v>1</v>
      </c>
      <c r="G23" s="9"/>
    </row>
    <row r="24" ht="15.75" customHeight="1">
      <c r="A24" s="9">
        <v>2.0</v>
      </c>
      <c r="B24" s="9" t="s">
        <v>165</v>
      </c>
      <c r="C24" s="9" t="s">
        <v>166</v>
      </c>
      <c r="D24" s="10" t="b">
        <v>1</v>
      </c>
      <c r="E24" s="9" t="s">
        <v>167</v>
      </c>
      <c r="F24" s="10" t="b">
        <v>1</v>
      </c>
      <c r="G24" s="9"/>
    </row>
    <row r="25" ht="15.75" customHeight="1">
      <c r="A25" s="9">
        <v>2.0</v>
      </c>
      <c r="B25" s="9" t="s">
        <v>168</v>
      </c>
      <c r="C25" s="9" t="s">
        <v>169</v>
      </c>
      <c r="D25" s="10" t="b">
        <v>1</v>
      </c>
      <c r="E25" s="9" t="s">
        <v>169</v>
      </c>
      <c r="F25" s="10" t="b">
        <v>1</v>
      </c>
      <c r="G25" s="9"/>
    </row>
    <row r="26" ht="15.75" customHeight="1">
      <c r="A26" s="9">
        <v>2.0</v>
      </c>
      <c r="B26" s="9" t="s">
        <v>170</v>
      </c>
      <c r="C26" s="9" t="s">
        <v>171</v>
      </c>
      <c r="D26" s="10" t="b">
        <v>1</v>
      </c>
      <c r="E26" s="9" t="s">
        <v>171</v>
      </c>
      <c r="F26" s="10" t="b">
        <v>1</v>
      </c>
      <c r="G26" s="9"/>
    </row>
    <row r="27" ht="15.75" customHeight="1">
      <c r="A27" s="9">
        <v>2.0</v>
      </c>
      <c r="B27" s="9" t="s">
        <v>172</v>
      </c>
      <c r="C27" s="11" t="s">
        <v>173</v>
      </c>
      <c r="D27" s="10" t="b">
        <v>1</v>
      </c>
      <c r="E27" s="11" t="s">
        <v>174</v>
      </c>
      <c r="F27" s="11" t="b">
        <v>1</v>
      </c>
      <c r="G27" s="9"/>
    </row>
    <row r="28" ht="15.75" customHeight="1">
      <c r="A28" s="9">
        <v>2.0</v>
      </c>
      <c r="B28" s="9" t="s">
        <v>175</v>
      </c>
      <c r="C28" s="9" t="s">
        <v>176</v>
      </c>
      <c r="D28" s="10" t="b">
        <v>1</v>
      </c>
      <c r="E28" s="9" t="s">
        <v>177</v>
      </c>
      <c r="F28" s="10" t="b">
        <v>1</v>
      </c>
      <c r="G28" s="9"/>
    </row>
    <row r="29" ht="15.75" customHeight="1">
      <c r="A29" s="9">
        <v>2.0</v>
      </c>
      <c r="B29" s="9" t="s">
        <v>178</v>
      </c>
      <c r="C29" s="11" t="s">
        <v>179</v>
      </c>
      <c r="D29" s="10" t="b">
        <v>1</v>
      </c>
      <c r="E29" s="9" t="s">
        <v>180</v>
      </c>
      <c r="F29" s="10" t="b">
        <v>1</v>
      </c>
      <c r="G29" s="9"/>
    </row>
    <row r="30" ht="15.75" customHeight="1">
      <c r="A30" s="9">
        <v>2.0</v>
      </c>
      <c r="B30" s="9" t="s">
        <v>181</v>
      </c>
      <c r="C30" s="9" t="s">
        <v>182</v>
      </c>
      <c r="D30" s="10" t="b">
        <v>1</v>
      </c>
      <c r="E30" s="9" t="s">
        <v>182</v>
      </c>
      <c r="F30" s="10" t="b">
        <v>1</v>
      </c>
      <c r="G30" s="9"/>
    </row>
    <row r="31" ht="15.75" customHeight="1">
      <c r="A31" s="9">
        <v>2.0</v>
      </c>
      <c r="B31" s="9" t="s">
        <v>183</v>
      </c>
      <c r="C31" s="9" t="s">
        <v>184</v>
      </c>
      <c r="D31" s="10" t="b">
        <v>1</v>
      </c>
      <c r="E31" s="9" t="s">
        <v>184</v>
      </c>
      <c r="F31" s="10" t="b">
        <v>1</v>
      </c>
      <c r="G31" s="9"/>
    </row>
    <row r="32" ht="15.75" customHeight="1">
      <c r="A32" s="9">
        <v>2.0</v>
      </c>
      <c r="B32" s="9" t="s">
        <v>185</v>
      </c>
      <c r="C32" s="9" t="s">
        <v>186</v>
      </c>
      <c r="D32" s="10" t="b">
        <v>1</v>
      </c>
      <c r="E32" s="9" t="s">
        <v>186</v>
      </c>
      <c r="F32" s="10" t="b">
        <v>1</v>
      </c>
      <c r="G32" s="9"/>
    </row>
    <row r="33" ht="15.75" customHeight="1">
      <c r="A33" s="9">
        <v>2.0</v>
      </c>
      <c r="B33" s="9" t="s">
        <v>187</v>
      </c>
      <c r="C33" s="9" t="s">
        <v>188</v>
      </c>
      <c r="D33" s="10" t="b">
        <v>1</v>
      </c>
      <c r="E33" s="9" t="s">
        <v>188</v>
      </c>
      <c r="F33" s="10" t="b">
        <v>1</v>
      </c>
      <c r="G33" s="9"/>
    </row>
    <row r="34" ht="15.75" customHeight="1">
      <c r="A34" s="9">
        <v>2.0</v>
      </c>
      <c r="B34" s="9" t="s">
        <v>189</v>
      </c>
      <c r="C34" s="9" t="s">
        <v>190</v>
      </c>
      <c r="D34" s="10" t="b">
        <v>1</v>
      </c>
      <c r="E34" s="9" t="s">
        <v>191</v>
      </c>
      <c r="F34" s="10" t="b">
        <v>1</v>
      </c>
      <c r="G34" s="9"/>
    </row>
    <row r="35" ht="15.75" customHeight="1">
      <c r="A35" s="9">
        <v>2.0</v>
      </c>
      <c r="B35" s="9" t="s">
        <v>192</v>
      </c>
      <c r="C35" s="11" t="s">
        <v>193</v>
      </c>
      <c r="D35" s="10" t="b">
        <v>0</v>
      </c>
      <c r="E35" s="11" t="s">
        <v>194</v>
      </c>
      <c r="F35" s="9" t="b">
        <v>0</v>
      </c>
      <c r="G35" s="9"/>
    </row>
    <row r="36" ht="15.75" customHeight="1">
      <c r="A36" s="9">
        <v>2.0</v>
      </c>
      <c r="B36" s="9" t="s">
        <v>195</v>
      </c>
      <c r="C36" s="9" t="s">
        <v>196</v>
      </c>
      <c r="D36" s="10" t="b">
        <v>1</v>
      </c>
      <c r="E36" s="9" t="s">
        <v>197</v>
      </c>
      <c r="F36" s="10" t="b">
        <v>1</v>
      </c>
      <c r="G36" s="9"/>
    </row>
    <row r="37" ht="15.75" customHeight="1">
      <c r="A37" s="9">
        <v>2.0</v>
      </c>
      <c r="B37" s="9" t="s">
        <v>198</v>
      </c>
      <c r="C37" s="9" t="s">
        <v>199</v>
      </c>
      <c r="D37" s="10" t="b">
        <v>1</v>
      </c>
      <c r="E37" s="9" t="s">
        <v>200</v>
      </c>
      <c r="F37" s="10" t="b">
        <v>1</v>
      </c>
      <c r="G37" s="9"/>
    </row>
    <row r="38" ht="15.75" customHeight="1">
      <c r="A38" s="4">
        <v>2.0</v>
      </c>
      <c r="B38" s="4" t="s">
        <v>201</v>
      </c>
      <c r="C38" s="3" t="s">
        <v>202</v>
      </c>
      <c r="D38" s="1" t="b">
        <v>1</v>
      </c>
      <c r="E38" s="3" t="s">
        <v>203</v>
      </c>
      <c r="F38" s="1" t="b">
        <v>1</v>
      </c>
      <c r="G38" s="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  <row r="995" ht="15.75" customHeight="1">
      <c r="C995" s="3"/>
      <c r="D995" s="3"/>
      <c r="E995" s="3"/>
      <c r="F995" s="3"/>
      <c r="G995" s="3"/>
    </row>
    <row r="996" ht="15.75" customHeight="1">
      <c r="C996" s="3"/>
      <c r="D996" s="3"/>
      <c r="E996" s="3"/>
      <c r="F996" s="3"/>
      <c r="G996" s="3"/>
    </row>
    <row r="997" ht="15.75" customHeight="1">
      <c r="C997" s="3"/>
      <c r="D997" s="3"/>
      <c r="E997" s="3"/>
      <c r="F997" s="3"/>
      <c r="G997" s="3"/>
    </row>
    <row r="998" ht="15.75" customHeight="1">
      <c r="C998" s="3"/>
      <c r="D998" s="3"/>
      <c r="E998" s="3"/>
      <c r="F998" s="3"/>
      <c r="G998" s="3"/>
    </row>
    <row r="999" ht="15.75" customHeight="1">
      <c r="C999" s="3"/>
      <c r="D999" s="3"/>
      <c r="E999" s="3"/>
      <c r="F999" s="3"/>
      <c r="G999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3.0</v>
      </c>
      <c r="B2" s="9" t="s">
        <v>204</v>
      </c>
      <c r="C2" s="11" t="s">
        <v>205</v>
      </c>
      <c r="D2" s="10" t="b">
        <v>1</v>
      </c>
      <c r="E2" s="11" t="s">
        <v>206</v>
      </c>
      <c r="F2" s="10" t="b">
        <v>1</v>
      </c>
      <c r="G2" s="9"/>
    </row>
    <row r="3">
      <c r="A3" s="12">
        <v>3.0</v>
      </c>
      <c r="B3" s="12" t="s">
        <v>207</v>
      </c>
      <c r="C3" s="11" t="s">
        <v>208</v>
      </c>
      <c r="D3" s="12" t="b">
        <v>0</v>
      </c>
      <c r="E3" s="11" t="s">
        <v>209</v>
      </c>
      <c r="F3" s="12" t="b">
        <v>0</v>
      </c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9">
        <v>3.0</v>
      </c>
      <c r="B4" s="9" t="s">
        <v>210</v>
      </c>
      <c r="C4" s="11" t="s">
        <v>211</v>
      </c>
      <c r="D4" s="9" t="b">
        <v>0</v>
      </c>
      <c r="E4" s="11" t="s">
        <v>212</v>
      </c>
      <c r="F4" s="9" t="b">
        <v>0</v>
      </c>
      <c r="G4" s="9"/>
    </row>
    <row r="5">
      <c r="A5" s="9">
        <v>3.0</v>
      </c>
      <c r="B5" s="9" t="s">
        <v>213</v>
      </c>
      <c r="C5" s="11" t="s">
        <v>214</v>
      </c>
      <c r="D5" s="9" t="b">
        <v>0</v>
      </c>
      <c r="E5" s="11" t="s">
        <v>215</v>
      </c>
      <c r="F5" s="9" t="b">
        <v>0</v>
      </c>
      <c r="G5" s="9"/>
    </row>
    <row r="6">
      <c r="A6" s="9">
        <v>3.0</v>
      </c>
      <c r="B6" s="9" t="s">
        <v>216</v>
      </c>
      <c r="C6" s="11" t="s">
        <v>217</v>
      </c>
      <c r="D6" s="10" t="b">
        <v>1</v>
      </c>
      <c r="E6" s="11" t="s">
        <v>218</v>
      </c>
      <c r="F6" s="10" t="b">
        <v>1</v>
      </c>
      <c r="G6" s="9"/>
    </row>
    <row r="7">
      <c r="A7" s="9">
        <v>3.0</v>
      </c>
      <c r="B7" s="9" t="s">
        <v>219</v>
      </c>
      <c r="C7" s="9" t="s">
        <v>220</v>
      </c>
      <c r="D7" s="10" t="b">
        <v>1</v>
      </c>
      <c r="E7" s="9" t="s">
        <v>221</v>
      </c>
      <c r="F7" s="10" t="b">
        <v>1</v>
      </c>
      <c r="G7" s="9"/>
    </row>
    <row r="8">
      <c r="A8" s="9">
        <v>3.0</v>
      </c>
      <c r="B8" s="9" t="s">
        <v>222</v>
      </c>
      <c r="C8" s="9" t="s">
        <v>223</v>
      </c>
      <c r="D8" s="10" t="b">
        <v>1</v>
      </c>
      <c r="E8" s="9" t="s">
        <v>224</v>
      </c>
      <c r="F8" s="10" t="b">
        <v>1</v>
      </c>
      <c r="G8" s="9"/>
    </row>
    <row r="9">
      <c r="A9" s="9">
        <v>3.0</v>
      </c>
      <c r="B9" s="9" t="s">
        <v>225</v>
      </c>
      <c r="C9" s="9" t="s">
        <v>226</v>
      </c>
      <c r="D9" s="10" t="b">
        <v>1</v>
      </c>
      <c r="E9" s="9" t="s">
        <v>226</v>
      </c>
      <c r="F9" s="11" t="b">
        <v>1</v>
      </c>
      <c r="G9" s="9"/>
    </row>
    <row r="10">
      <c r="A10" s="9">
        <v>3.0</v>
      </c>
      <c r="B10" s="9" t="s">
        <v>227</v>
      </c>
      <c r="C10" s="11" t="s">
        <v>228</v>
      </c>
      <c r="D10" s="10" t="b">
        <v>1</v>
      </c>
      <c r="E10" s="11" t="s">
        <v>229</v>
      </c>
      <c r="F10" s="10" t="b">
        <v>1</v>
      </c>
      <c r="G10" s="9"/>
    </row>
    <row r="11">
      <c r="A11" s="9">
        <v>3.0</v>
      </c>
      <c r="B11" s="9" t="s">
        <v>230</v>
      </c>
      <c r="C11" s="9" t="s">
        <v>231</v>
      </c>
      <c r="D11" s="10" t="b">
        <v>1</v>
      </c>
      <c r="E11" s="11" t="s">
        <v>232</v>
      </c>
      <c r="F11" s="10" t="b">
        <v>1</v>
      </c>
      <c r="G11" s="9"/>
    </row>
    <row r="12">
      <c r="A12" s="9">
        <v>3.0</v>
      </c>
      <c r="B12" s="9" t="s">
        <v>233</v>
      </c>
      <c r="C12" s="11" t="s">
        <v>234</v>
      </c>
      <c r="D12" s="10" t="b">
        <v>1</v>
      </c>
      <c r="E12" s="11" t="s">
        <v>235</v>
      </c>
      <c r="F12" s="10" t="b">
        <v>1</v>
      </c>
      <c r="G12" s="9"/>
    </row>
    <row r="13">
      <c r="A13" s="9">
        <v>3.0</v>
      </c>
      <c r="B13" s="9" t="s">
        <v>236</v>
      </c>
      <c r="C13" s="9" t="s">
        <v>237</v>
      </c>
      <c r="D13" s="10" t="b">
        <v>1</v>
      </c>
      <c r="E13" s="9" t="s">
        <v>238</v>
      </c>
      <c r="F13" s="10" t="b">
        <v>1</v>
      </c>
      <c r="G13" s="9"/>
    </row>
    <row r="14">
      <c r="A14" s="9">
        <v>3.0</v>
      </c>
      <c r="B14" s="9" t="s">
        <v>239</v>
      </c>
      <c r="C14" s="9" t="s">
        <v>240</v>
      </c>
      <c r="D14" s="9" t="b">
        <v>0</v>
      </c>
      <c r="E14" s="9" t="s">
        <v>241</v>
      </c>
      <c r="F14" s="9" t="b">
        <v>0</v>
      </c>
      <c r="G14" s="9"/>
    </row>
    <row r="15">
      <c r="A15" s="9">
        <v>3.0</v>
      </c>
      <c r="B15" s="9" t="s">
        <v>242</v>
      </c>
      <c r="C15" s="9" t="s">
        <v>243</v>
      </c>
      <c r="D15" s="10" t="b">
        <v>1</v>
      </c>
      <c r="E15" s="11" t="s">
        <v>243</v>
      </c>
      <c r="F15" s="10" t="b">
        <v>1</v>
      </c>
      <c r="G15" s="9"/>
    </row>
    <row r="16">
      <c r="A16" s="9">
        <v>3.0</v>
      </c>
      <c r="B16" s="9" t="s">
        <v>244</v>
      </c>
      <c r="C16" s="11" t="s">
        <v>245</v>
      </c>
      <c r="D16" s="9" t="b">
        <v>0</v>
      </c>
      <c r="E16" s="11" t="s">
        <v>246</v>
      </c>
      <c r="F16" s="9" t="b">
        <v>0</v>
      </c>
      <c r="G16" s="9"/>
    </row>
    <row r="17">
      <c r="A17" s="9">
        <v>3.0</v>
      </c>
      <c r="B17" s="9" t="s">
        <v>247</v>
      </c>
      <c r="C17" s="9" t="s">
        <v>248</v>
      </c>
      <c r="D17" s="10" t="b">
        <v>1</v>
      </c>
      <c r="E17" s="9" t="s">
        <v>249</v>
      </c>
      <c r="F17" s="10" t="b">
        <v>1</v>
      </c>
      <c r="G17" s="9"/>
    </row>
    <row r="18">
      <c r="A18" s="9">
        <v>3.0</v>
      </c>
      <c r="B18" s="9" t="s">
        <v>250</v>
      </c>
      <c r="C18" s="11" t="s">
        <v>251</v>
      </c>
      <c r="D18" s="9" t="b">
        <v>0</v>
      </c>
      <c r="E18" s="11" t="s">
        <v>252</v>
      </c>
      <c r="F18" s="9" t="b">
        <v>0</v>
      </c>
      <c r="G18" s="9"/>
    </row>
    <row r="19">
      <c r="A19" s="9">
        <v>3.0</v>
      </c>
      <c r="B19" s="9" t="s">
        <v>253</v>
      </c>
      <c r="C19" s="9" t="s">
        <v>254</v>
      </c>
      <c r="D19" s="10" t="b">
        <v>1</v>
      </c>
      <c r="E19" s="9" t="s">
        <v>254</v>
      </c>
      <c r="F19" s="10" t="b">
        <v>1</v>
      </c>
      <c r="G19" s="9"/>
    </row>
    <row r="20" ht="15.75" customHeight="1">
      <c r="A20" s="9">
        <v>3.0</v>
      </c>
      <c r="B20" s="9" t="s">
        <v>255</v>
      </c>
      <c r="C20" s="9" t="s">
        <v>256</v>
      </c>
      <c r="D20" s="10" t="b">
        <v>1</v>
      </c>
      <c r="E20" s="9" t="s">
        <v>256</v>
      </c>
      <c r="F20" s="10" t="b">
        <v>1</v>
      </c>
      <c r="G20" s="9"/>
    </row>
    <row r="21" ht="15.75" customHeight="1">
      <c r="A21" s="9">
        <v>3.0</v>
      </c>
      <c r="B21" s="9" t="s">
        <v>257</v>
      </c>
      <c r="C21" s="9" t="s">
        <v>258</v>
      </c>
      <c r="D21" s="10" t="b">
        <v>1</v>
      </c>
      <c r="E21" s="9" t="s">
        <v>259</v>
      </c>
      <c r="F21" s="10" t="b">
        <v>1</v>
      </c>
      <c r="G21" s="9"/>
    </row>
    <row r="22" ht="15.75" customHeight="1">
      <c r="A22" s="9">
        <v>3.0</v>
      </c>
      <c r="B22" s="9" t="s">
        <v>260</v>
      </c>
      <c r="C22" s="9" t="s">
        <v>261</v>
      </c>
      <c r="D22" s="10" t="b">
        <v>1</v>
      </c>
      <c r="E22" s="9" t="s">
        <v>261</v>
      </c>
      <c r="F22" s="10" t="b">
        <v>1</v>
      </c>
      <c r="G22" s="9"/>
    </row>
    <row r="23" ht="15.75" customHeight="1">
      <c r="A23" s="9">
        <v>3.0</v>
      </c>
      <c r="B23" s="9" t="s">
        <v>262</v>
      </c>
      <c r="C23" s="11" t="s">
        <v>263</v>
      </c>
      <c r="D23" s="10" t="b">
        <v>1</v>
      </c>
      <c r="E23" s="11" t="s">
        <v>264</v>
      </c>
      <c r="F23" s="10" t="b">
        <v>1</v>
      </c>
      <c r="G23" s="9"/>
    </row>
    <row r="24" ht="15.75" customHeight="1">
      <c r="A24" s="9">
        <v>3.0</v>
      </c>
      <c r="B24" s="9" t="s">
        <v>265</v>
      </c>
      <c r="C24" s="9" t="s">
        <v>266</v>
      </c>
      <c r="D24" s="10" t="b">
        <v>1</v>
      </c>
      <c r="E24" s="9" t="s">
        <v>267</v>
      </c>
      <c r="F24" s="10" t="b">
        <v>1</v>
      </c>
      <c r="G24" s="9"/>
    </row>
    <row r="25" ht="15.75" customHeight="1">
      <c r="A25" s="9">
        <v>3.0</v>
      </c>
      <c r="B25" s="9" t="s">
        <v>268</v>
      </c>
      <c r="C25" s="9" t="s">
        <v>269</v>
      </c>
      <c r="D25" s="10" t="b">
        <v>1</v>
      </c>
      <c r="E25" s="9" t="s">
        <v>269</v>
      </c>
      <c r="F25" s="10" t="b">
        <v>1</v>
      </c>
      <c r="G25" s="9"/>
    </row>
    <row r="26" ht="15.75" customHeight="1">
      <c r="A26" s="9">
        <v>3.0</v>
      </c>
      <c r="B26" s="9" t="s">
        <v>270</v>
      </c>
      <c r="C26" s="11" t="s">
        <v>271</v>
      </c>
      <c r="D26" s="10" t="b">
        <v>1</v>
      </c>
      <c r="E26" s="11" t="s">
        <v>272</v>
      </c>
      <c r="F26" s="10" t="b">
        <v>1</v>
      </c>
      <c r="G26" s="9"/>
    </row>
    <row r="27" ht="15.75" customHeight="1">
      <c r="A27" s="9">
        <v>3.0</v>
      </c>
      <c r="B27" s="9" t="s">
        <v>273</v>
      </c>
      <c r="C27" s="11" t="s">
        <v>274</v>
      </c>
      <c r="D27" s="10" t="b">
        <v>1</v>
      </c>
      <c r="E27" s="9" t="s">
        <v>275</v>
      </c>
      <c r="F27" s="10" t="b">
        <v>1</v>
      </c>
      <c r="G27" s="9"/>
    </row>
    <row r="28" ht="15.75" customHeight="1">
      <c r="A28" s="9">
        <v>3.0</v>
      </c>
      <c r="B28" s="9" t="s">
        <v>276</v>
      </c>
      <c r="C28" s="11" t="s">
        <v>277</v>
      </c>
      <c r="D28" s="10" t="b">
        <v>1</v>
      </c>
      <c r="E28" s="11" t="s">
        <v>278</v>
      </c>
      <c r="F28" s="11" t="b">
        <v>1</v>
      </c>
      <c r="G28" s="9"/>
    </row>
    <row r="29" ht="15.75" customHeight="1">
      <c r="A29" s="9">
        <v>3.0</v>
      </c>
      <c r="B29" s="9" t="s">
        <v>279</v>
      </c>
      <c r="C29" s="9" t="s">
        <v>280</v>
      </c>
      <c r="D29" s="10" t="b">
        <v>1</v>
      </c>
      <c r="E29" s="9" t="s">
        <v>281</v>
      </c>
      <c r="F29" s="10" t="b">
        <v>1</v>
      </c>
      <c r="G29" s="9"/>
    </row>
    <row r="30" ht="15.75" customHeight="1">
      <c r="A30" s="9">
        <v>3.0</v>
      </c>
      <c r="B30" s="9" t="s">
        <v>282</v>
      </c>
      <c r="C30" s="9" t="s">
        <v>283</v>
      </c>
      <c r="D30" s="10" t="b">
        <v>1</v>
      </c>
      <c r="E30" s="9" t="s">
        <v>284</v>
      </c>
      <c r="F30" s="10" t="b">
        <v>1</v>
      </c>
      <c r="G30" s="9"/>
    </row>
    <row r="31" ht="15.75" customHeight="1">
      <c r="A31" s="9">
        <v>3.0</v>
      </c>
      <c r="B31" s="9" t="s">
        <v>285</v>
      </c>
      <c r="C31" s="9" t="s">
        <v>286</v>
      </c>
      <c r="D31" s="10" t="b">
        <v>1</v>
      </c>
      <c r="E31" s="9" t="s">
        <v>286</v>
      </c>
      <c r="F31" s="10" t="b">
        <v>1</v>
      </c>
      <c r="G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C74" s="3"/>
      <c r="D74" s="3"/>
      <c r="E74" s="3"/>
      <c r="F74" s="3"/>
      <c r="G74" s="3"/>
    </row>
    <row r="75" ht="15.75" customHeight="1">
      <c r="C75" s="3"/>
      <c r="D75" s="3"/>
      <c r="E75" s="3"/>
      <c r="F75" s="3"/>
      <c r="G75" s="3"/>
    </row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  <row r="995" ht="15.75" customHeight="1">
      <c r="C995" s="3"/>
      <c r="D995" s="3"/>
      <c r="E995" s="3"/>
      <c r="F995" s="3"/>
      <c r="G995" s="3"/>
    </row>
    <row r="996" ht="15.75" customHeight="1">
      <c r="C996" s="3"/>
      <c r="D996" s="3"/>
      <c r="E996" s="3"/>
      <c r="F996" s="3"/>
      <c r="G996" s="3"/>
    </row>
    <row r="997" ht="15.75" customHeight="1">
      <c r="C997" s="3"/>
      <c r="D997" s="3"/>
      <c r="E997" s="3"/>
      <c r="F997" s="3"/>
      <c r="G997" s="3"/>
    </row>
    <row r="998" ht="15.75" customHeight="1">
      <c r="C998" s="3"/>
      <c r="D998" s="3"/>
      <c r="E998" s="3"/>
      <c r="F998" s="3"/>
      <c r="G998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4.0</v>
      </c>
      <c r="B2" s="9" t="s">
        <v>287</v>
      </c>
      <c r="C2" s="11" t="s">
        <v>288</v>
      </c>
      <c r="D2" s="10" t="b">
        <v>1</v>
      </c>
      <c r="E2" s="11" t="s">
        <v>288</v>
      </c>
      <c r="F2" s="10" t="b">
        <v>1</v>
      </c>
      <c r="G2" s="9"/>
    </row>
    <row r="3">
      <c r="A3" s="12">
        <v>4.0</v>
      </c>
      <c r="B3" s="12" t="s">
        <v>289</v>
      </c>
      <c r="C3" s="11" t="s">
        <v>290</v>
      </c>
      <c r="D3" s="11" t="b">
        <v>1</v>
      </c>
      <c r="E3" s="11" t="s">
        <v>291</v>
      </c>
      <c r="F3" s="11" t="b">
        <v>1</v>
      </c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9">
        <v>4.0</v>
      </c>
      <c r="B4" s="9" t="s">
        <v>292</v>
      </c>
      <c r="C4" s="12" t="s">
        <v>293</v>
      </c>
      <c r="D4" s="10" t="b">
        <v>1</v>
      </c>
      <c r="E4" s="12" t="s">
        <v>293</v>
      </c>
      <c r="F4" s="10" t="b">
        <v>1</v>
      </c>
      <c r="G4" s="9"/>
    </row>
    <row r="5">
      <c r="A5" s="9">
        <v>4.0</v>
      </c>
      <c r="B5" s="9" t="s">
        <v>294</v>
      </c>
      <c r="C5" s="9" t="s">
        <v>295</v>
      </c>
      <c r="D5" s="10" t="b">
        <v>1</v>
      </c>
      <c r="E5" s="9" t="s">
        <v>295</v>
      </c>
      <c r="F5" s="10" t="b">
        <v>1</v>
      </c>
      <c r="G5" s="9"/>
    </row>
    <row r="6">
      <c r="A6" s="9">
        <v>4.0</v>
      </c>
      <c r="B6" s="9" t="s">
        <v>296</v>
      </c>
      <c r="C6" s="11" t="s">
        <v>297</v>
      </c>
      <c r="D6" s="10" t="b">
        <v>1</v>
      </c>
      <c r="E6" s="11" t="s">
        <v>298</v>
      </c>
      <c r="F6" s="10" t="b">
        <v>1</v>
      </c>
      <c r="G6" s="9"/>
    </row>
    <row r="7">
      <c r="A7" s="9">
        <v>4.0</v>
      </c>
      <c r="B7" s="9" t="s">
        <v>299</v>
      </c>
      <c r="C7" s="11" t="s">
        <v>300</v>
      </c>
      <c r="D7" s="10" t="b">
        <v>1</v>
      </c>
      <c r="E7" s="11" t="s">
        <v>301</v>
      </c>
      <c r="F7" s="10" t="b">
        <v>1</v>
      </c>
      <c r="G7" s="9"/>
    </row>
    <row r="8">
      <c r="A8" s="9">
        <v>4.0</v>
      </c>
      <c r="B8" s="9" t="s">
        <v>302</v>
      </c>
      <c r="C8" s="9" t="s">
        <v>303</v>
      </c>
      <c r="D8" s="10" t="b">
        <v>1</v>
      </c>
      <c r="E8" s="9" t="s">
        <v>304</v>
      </c>
      <c r="F8" s="10" t="b">
        <v>1</v>
      </c>
      <c r="G8" s="9"/>
    </row>
    <row r="9">
      <c r="A9" s="9">
        <v>4.0</v>
      </c>
      <c r="B9" s="9" t="s">
        <v>305</v>
      </c>
      <c r="C9" s="11" t="s">
        <v>306</v>
      </c>
      <c r="D9" s="10" t="b">
        <v>1</v>
      </c>
      <c r="E9" s="11" t="s">
        <v>307</v>
      </c>
      <c r="F9" s="10" t="b">
        <v>1</v>
      </c>
      <c r="G9" s="9"/>
    </row>
    <row r="10">
      <c r="A10" s="9">
        <v>4.0</v>
      </c>
      <c r="B10" s="9" t="s">
        <v>308</v>
      </c>
      <c r="C10" s="9" t="s">
        <v>309</v>
      </c>
      <c r="D10" s="10" t="b">
        <v>1</v>
      </c>
      <c r="E10" s="9" t="s">
        <v>309</v>
      </c>
      <c r="F10" s="10" t="b">
        <v>1</v>
      </c>
      <c r="G10" s="9"/>
    </row>
    <row r="11">
      <c r="A11" s="9">
        <v>4.0</v>
      </c>
      <c r="B11" s="9" t="s">
        <v>310</v>
      </c>
      <c r="C11" s="9" t="s">
        <v>311</v>
      </c>
      <c r="D11" s="10" t="b">
        <v>1</v>
      </c>
      <c r="E11" s="9" t="s">
        <v>312</v>
      </c>
      <c r="F11" s="10" t="b">
        <v>1</v>
      </c>
      <c r="G11" s="9"/>
    </row>
    <row r="12">
      <c r="A12" s="12">
        <v>4.0</v>
      </c>
      <c r="B12" s="12" t="s">
        <v>313</v>
      </c>
      <c r="C12" s="11" t="s">
        <v>314</v>
      </c>
      <c r="D12" s="11" t="b">
        <v>1</v>
      </c>
      <c r="E12" s="11" t="s">
        <v>315</v>
      </c>
      <c r="F12" s="11" t="b">
        <v>1</v>
      </c>
      <c r="G12" s="1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9">
        <v>4.0</v>
      </c>
      <c r="B13" s="9" t="s">
        <v>316</v>
      </c>
      <c r="C13" s="11" t="s">
        <v>317</v>
      </c>
      <c r="D13" s="10" t="b">
        <v>1</v>
      </c>
      <c r="E13" s="11" t="s">
        <v>318</v>
      </c>
      <c r="F13" s="10" t="b">
        <v>1</v>
      </c>
      <c r="G13" s="9"/>
    </row>
    <row r="14">
      <c r="A14" s="9">
        <v>4.0</v>
      </c>
      <c r="B14" s="9" t="s">
        <v>319</v>
      </c>
      <c r="C14" s="9" t="s">
        <v>320</v>
      </c>
      <c r="D14" s="10" t="b">
        <v>1</v>
      </c>
      <c r="E14" s="9" t="s">
        <v>320</v>
      </c>
      <c r="F14" s="10" t="b">
        <v>1</v>
      </c>
      <c r="G14" s="9"/>
    </row>
    <row r="15">
      <c r="A15" s="9">
        <v>4.0</v>
      </c>
      <c r="B15" s="9" t="s">
        <v>321</v>
      </c>
      <c r="C15" s="9" t="s">
        <v>322</v>
      </c>
      <c r="D15" s="10" t="b">
        <v>1</v>
      </c>
      <c r="E15" s="9" t="s">
        <v>323</v>
      </c>
      <c r="F15" s="9"/>
      <c r="G15" s="9"/>
    </row>
    <row r="16">
      <c r="A16" s="9">
        <v>4.0</v>
      </c>
      <c r="B16" s="9" t="s">
        <v>324</v>
      </c>
      <c r="C16" s="9" t="s">
        <v>325</v>
      </c>
      <c r="D16" s="10" t="b">
        <v>1</v>
      </c>
      <c r="E16" s="9" t="s">
        <v>326</v>
      </c>
      <c r="F16" s="10" t="b">
        <v>1</v>
      </c>
      <c r="G16" s="9"/>
    </row>
    <row r="17">
      <c r="A17" s="9">
        <v>4.0</v>
      </c>
      <c r="B17" s="9" t="s">
        <v>327</v>
      </c>
      <c r="C17" s="9" t="s">
        <v>328</v>
      </c>
      <c r="D17" s="10" t="b">
        <v>1</v>
      </c>
      <c r="E17" s="9" t="s">
        <v>329</v>
      </c>
      <c r="F17" s="10" t="b">
        <v>1</v>
      </c>
      <c r="G17" s="9"/>
    </row>
    <row r="18">
      <c r="A18" s="9">
        <v>4.0</v>
      </c>
      <c r="B18" s="9" t="s">
        <v>330</v>
      </c>
      <c r="C18" s="9" t="s">
        <v>331</v>
      </c>
      <c r="D18" s="10" t="b">
        <v>1</v>
      </c>
      <c r="E18" s="9" t="s">
        <v>332</v>
      </c>
      <c r="F18" s="10" t="b">
        <v>1</v>
      </c>
      <c r="G18" s="9"/>
    </row>
    <row r="19">
      <c r="A19" s="9">
        <v>4.0</v>
      </c>
      <c r="B19" s="9" t="s">
        <v>333</v>
      </c>
      <c r="C19" s="9" t="s">
        <v>334</v>
      </c>
      <c r="D19" s="10" t="b">
        <v>1</v>
      </c>
      <c r="E19" s="9" t="s">
        <v>334</v>
      </c>
      <c r="F19" s="10" t="b">
        <v>1</v>
      </c>
      <c r="G19" s="9"/>
    </row>
    <row r="20" ht="15.75" customHeight="1">
      <c r="A20" s="9">
        <v>4.0</v>
      </c>
      <c r="B20" s="9" t="s">
        <v>335</v>
      </c>
      <c r="C20" s="11" t="s">
        <v>336</v>
      </c>
      <c r="D20" s="10" t="b">
        <v>1</v>
      </c>
      <c r="E20" s="11" t="s">
        <v>337</v>
      </c>
      <c r="F20" s="10" t="b">
        <v>1</v>
      </c>
      <c r="G20" s="9"/>
    </row>
    <row r="21" ht="15.75" customHeight="1">
      <c r="A21" s="9">
        <v>4.0</v>
      </c>
      <c r="B21" s="9" t="s">
        <v>338</v>
      </c>
      <c r="C21" s="9" t="s">
        <v>339</v>
      </c>
      <c r="D21" s="10" t="b">
        <v>1</v>
      </c>
      <c r="E21" s="10" t="s">
        <v>340</v>
      </c>
      <c r="F21" s="10" t="b">
        <v>1</v>
      </c>
      <c r="G21" s="9"/>
    </row>
    <row r="22" ht="15.75" customHeight="1">
      <c r="A22" s="9">
        <v>4.0</v>
      </c>
      <c r="B22" s="9" t="s">
        <v>341</v>
      </c>
      <c r="C22" s="9" t="s">
        <v>342</v>
      </c>
      <c r="D22" s="10" t="b">
        <v>1</v>
      </c>
      <c r="E22" s="9" t="s">
        <v>342</v>
      </c>
      <c r="F22" s="10" t="b">
        <v>1</v>
      </c>
      <c r="G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A45" s="9"/>
      <c r="B45" s="9"/>
      <c r="C45" s="9"/>
      <c r="D45" s="9"/>
      <c r="E45" s="9"/>
      <c r="F45" s="9"/>
      <c r="G45" s="9"/>
    </row>
    <row r="46" ht="15.75" customHeight="1">
      <c r="A46" s="9"/>
      <c r="B46" s="9"/>
      <c r="C46" s="9"/>
      <c r="D46" s="9"/>
      <c r="E46" s="9"/>
      <c r="F46" s="9"/>
      <c r="G46" s="9"/>
    </row>
    <row r="47" ht="15.75" customHeight="1">
      <c r="A47" s="9"/>
      <c r="B47" s="9"/>
      <c r="C47" s="9"/>
      <c r="D47" s="9"/>
      <c r="E47" s="9"/>
      <c r="F47" s="9"/>
      <c r="G47" s="9"/>
    </row>
    <row r="48" ht="15.75" customHeight="1">
      <c r="A48" s="9"/>
      <c r="B48" s="9"/>
      <c r="C48" s="9"/>
      <c r="D48" s="9"/>
      <c r="E48" s="9"/>
      <c r="F48" s="9"/>
      <c r="G48" s="9"/>
    </row>
    <row r="49" ht="15.75" customHeight="1">
      <c r="A49" s="9"/>
      <c r="B49" s="9"/>
      <c r="C49" s="9"/>
      <c r="D49" s="9"/>
      <c r="E49" s="9"/>
      <c r="F49" s="9"/>
      <c r="G49" s="9"/>
    </row>
    <row r="50" ht="15.75" customHeight="1">
      <c r="A50" s="9"/>
      <c r="B50" s="9"/>
      <c r="C50" s="9"/>
      <c r="D50" s="9"/>
      <c r="E50" s="9"/>
      <c r="F50" s="9"/>
      <c r="G50" s="9"/>
    </row>
    <row r="51" ht="15.75" customHeight="1">
      <c r="A51" s="9"/>
      <c r="B51" s="9"/>
      <c r="C51" s="9"/>
      <c r="D51" s="9"/>
      <c r="E51" s="9"/>
      <c r="F51" s="9"/>
      <c r="G51" s="9"/>
    </row>
    <row r="52" ht="15.75" customHeight="1">
      <c r="A52" s="9"/>
      <c r="B52" s="9"/>
      <c r="C52" s="9"/>
      <c r="D52" s="9"/>
      <c r="E52" s="9"/>
      <c r="F52" s="9"/>
      <c r="G52" s="9"/>
    </row>
    <row r="53" ht="15.75" customHeight="1">
      <c r="A53" s="9"/>
      <c r="B53" s="9"/>
      <c r="C53" s="9"/>
      <c r="D53" s="9"/>
      <c r="E53" s="9"/>
      <c r="F53" s="9"/>
      <c r="G53" s="9"/>
    </row>
    <row r="54" ht="15.75" customHeight="1">
      <c r="A54" s="9"/>
      <c r="B54" s="9"/>
      <c r="C54" s="9"/>
      <c r="D54" s="9"/>
      <c r="E54" s="9"/>
      <c r="F54" s="9"/>
      <c r="G54" s="9"/>
    </row>
    <row r="55" ht="15.75" customHeight="1">
      <c r="A55" s="9"/>
      <c r="B55" s="9"/>
      <c r="C55" s="9"/>
      <c r="D55" s="9"/>
      <c r="E55" s="9"/>
      <c r="F55" s="9"/>
      <c r="G55" s="9"/>
    </row>
    <row r="56" ht="15.75" customHeight="1">
      <c r="A56" s="9"/>
      <c r="B56" s="9"/>
      <c r="C56" s="9"/>
      <c r="D56" s="9"/>
      <c r="E56" s="9"/>
      <c r="F56" s="9"/>
      <c r="G56" s="9"/>
    </row>
    <row r="57" ht="15.75" customHeight="1">
      <c r="A57" s="9"/>
      <c r="B57" s="9"/>
      <c r="C57" s="9"/>
      <c r="D57" s="9"/>
      <c r="E57" s="9"/>
      <c r="F57" s="9"/>
      <c r="G57" s="9"/>
    </row>
    <row r="58" ht="15.75" customHeight="1">
      <c r="A58" s="9"/>
      <c r="B58" s="9"/>
      <c r="C58" s="9"/>
      <c r="D58" s="9"/>
      <c r="E58" s="9"/>
      <c r="F58" s="9"/>
      <c r="G58" s="9"/>
    </row>
    <row r="59" ht="15.75" customHeight="1">
      <c r="A59" s="9"/>
      <c r="B59" s="9"/>
      <c r="C59" s="9"/>
      <c r="D59" s="9"/>
      <c r="E59" s="9"/>
      <c r="F59" s="9"/>
      <c r="G59" s="9"/>
    </row>
    <row r="60" ht="15.75" customHeight="1">
      <c r="A60" s="9"/>
      <c r="B60" s="9"/>
      <c r="C60" s="9"/>
      <c r="D60" s="9"/>
      <c r="E60" s="9"/>
      <c r="F60" s="9"/>
      <c r="G60" s="9"/>
    </row>
    <row r="61" ht="15.75" customHeight="1">
      <c r="A61" s="9"/>
      <c r="B61" s="9"/>
      <c r="C61" s="9"/>
      <c r="D61" s="9"/>
      <c r="E61" s="9"/>
      <c r="F61" s="9"/>
      <c r="G61" s="9"/>
    </row>
    <row r="62" ht="15.75" customHeight="1">
      <c r="A62" s="9"/>
      <c r="B62" s="9"/>
      <c r="C62" s="9"/>
      <c r="D62" s="9"/>
      <c r="E62" s="9"/>
      <c r="F62" s="9"/>
      <c r="G62" s="9"/>
    </row>
    <row r="63" ht="15.75" customHeight="1">
      <c r="A63" s="9"/>
      <c r="B63" s="9"/>
      <c r="C63" s="9"/>
      <c r="D63" s="9"/>
      <c r="E63" s="9"/>
      <c r="F63" s="9"/>
      <c r="G63" s="9"/>
    </row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A74" s="9"/>
      <c r="B74" s="9"/>
      <c r="C74" s="9"/>
      <c r="D74" s="9"/>
      <c r="E74" s="9"/>
      <c r="F74" s="9"/>
      <c r="G74" s="9"/>
    </row>
    <row r="75" ht="15.75" customHeight="1">
      <c r="C75" s="3"/>
      <c r="D75" s="3"/>
      <c r="E75" s="3"/>
      <c r="F75" s="3"/>
      <c r="G75" s="3"/>
    </row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  <row r="995" ht="15.75" customHeight="1">
      <c r="C995" s="3"/>
      <c r="D995" s="3"/>
      <c r="E995" s="3"/>
      <c r="F995" s="3"/>
      <c r="G995" s="3"/>
    </row>
    <row r="996" ht="15.75" customHeight="1">
      <c r="C996" s="3"/>
      <c r="D996" s="3"/>
      <c r="E996" s="3"/>
      <c r="F996" s="3"/>
      <c r="G996" s="3"/>
    </row>
    <row r="997" ht="15.75" customHeight="1">
      <c r="C997" s="3"/>
      <c r="D997" s="3"/>
      <c r="E997" s="3"/>
      <c r="F997" s="3"/>
      <c r="G997" s="3"/>
    </row>
    <row r="998" ht="15.75" customHeight="1">
      <c r="C998" s="3"/>
      <c r="D998" s="3"/>
      <c r="E998" s="3"/>
      <c r="F998" s="3"/>
      <c r="G998" s="3"/>
    </row>
    <row r="999" ht="15.75" customHeight="1">
      <c r="C999" s="3"/>
      <c r="D999" s="3"/>
      <c r="E999" s="3"/>
      <c r="F999" s="3"/>
      <c r="G999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5.0</v>
      </c>
      <c r="B2" s="9" t="s">
        <v>343</v>
      </c>
      <c r="C2" s="9" t="s">
        <v>344</v>
      </c>
      <c r="D2" s="10" t="b">
        <v>1</v>
      </c>
      <c r="E2" s="9" t="s">
        <v>344</v>
      </c>
      <c r="F2" s="10" t="b">
        <v>1</v>
      </c>
      <c r="G2" s="9"/>
    </row>
    <row r="3">
      <c r="A3" s="9">
        <v>5.0</v>
      </c>
      <c r="B3" s="9" t="s">
        <v>345</v>
      </c>
      <c r="C3" s="11" t="s">
        <v>346</v>
      </c>
      <c r="D3" s="10" t="b">
        <v>1</v>
      </c>
      <c r="E3" s="11" t="s">
        <v>347</v>
      </c>
      <c r="F3" s="10" t="b">
        <v>1</v>
      </c>
      <c r="G3" s="9"/>
    </row>
    <row r="4">
      <c r="A4" s="9">
        <v>5.0</v>
      </c>
      <c r="B4" s="9" t="s">
        <v>348</v>
      </c>
      <c r="C4" s="9" t="s">
        <v>349</v>
      </c>
      <c r="D4" s="10" t="b">
        <v>1</v>
      </c>
      <c r="E4" s="9" t="s">
        <v>349</v>
      </c>
      <c r="F4" s="10" t="b">
        <v>1</v>
      </c>
      <c r="G4" s="9"/>
    </row>
    <row r="5">
      <c r="A5" s="9">
        <v>5.0</v>
      </c>
      <c r="B5" s="9" t="s">
        <v>350</v>
      </c>
      <c r="C5" s="9" t="s">
        <v>351</v>
      </c>
      <c r="D5" s="10" t="b">
        <v>1</v>
      </c>
      <c r="E5" s="9" t="s">
        <v>352</v>
      </c>
      <c r="F5" s="10" t="b">
        <v>1</v>
      </c>
      <c r="G5" s="9"/>
    </row>
    <row r="6">
      <c r="A6" s="9">
        <v>5.0</v>
      </c>
      <c r="B6" s="9" t="s">
        <v>353</v>
      </c>
      <c r="C6" s="11" t="s">
        <v>354</v>
      </c>
      <c r="D6" s="10" t="b">
        <v>1</v>
      </c>
      <c r="E6" s="11" t="s">
        <v>355</v>
      </c>
      <c r="F6" s="10" t="b">
        <v>1</v>
      </c>
      <c r="G6" s="9"/>
    </row>
    <row r="7">
      <c r="A7" s="9">
        <v>5.0</v>
      </c>
      <c r="B7" s="9" t="s">
        <v>356</v>
      </c>
      <c r="C7" s="11" t="s">
        <v>357</v>
      </c>
      <c r="D7" s="10" t="b">
        <v>1</v>
      </c>
      <c r="E7" s="9" t="s">
        <v>358</v>
      </c>
      <c r="F7" s="10" t="b">
        <v>1</v>
      </c>
      <c r="G7" s="9"/>
    </row>
    <row r="8">
      <c r="A8" s="9">
        <v>5.0</v>
      </c>
      <c r="B8" s="9" t="s">
        <v>359</v>
      </c>
      <c r="C8" s="9" t="s">
        <v>360</v>
      </c>
      <c r="D8" s="10" t="b">
        <v>1</v>
      </c>
      <c r="E8" s="11" t="s">
        <v>361</v>
      </c>
      <c r="F8" s="10" t="b">
        <v>1</v>
      </c>
      <c r="G8" s="9"/>
    </row>
    <row r="9">
      <c r="A9" s="9">
        <v>5.0</v>
      </c>
      <c r="B9" s="9" t="s">
        <v>362</v>
      </c>
      <c r="C9" s="9" t="s">
        <v>363</v>
      </c>
      <c r="D9" s="9"/>
      <c r="E9" s="9" t="s">
        <v>363</v>
      </c>
      <c r="F9" s="9"/>
      <c r="G9" s="9"/>
    </row>
    <row r="10">
      <c r="A10" s="9">
        <v>5.0</v>
      </c>
      <c r="B10" s="9" t="s">
        <v>364</v>
      </c>
      <c r="C10" s="9" t="s">
        <v>365</v>
      </c>
      <c r="D10" s="10" t="b">
        <v>1</v>
      </c>
      <c r="E10" s="9" t="s">
        <v>366</v>
      </c>
      <c r="F10" s="10" t="b">
        <v>1</v>
      </c>
      <c r="G10" s="9"/>
    </row>
    <row r="11">
      <c r="A11" s="9">
        <v>5.0</v>
      </c>
      <c r="B11" s="9" t="s">
        <v>367</v>
      </c>
      <c r="C11" s="9" t="s">
        <v>368</v>
      </c>
      <c r="D11" s="10" t="b">
        <v>1</v>
      </c>
      <c r="E11" s="9" t="s">
        <v>368</v>
      </c>
      <c r="F11" s="10" t="b">
        <v>1</v>
      </c>
      <c r="G11" s="9"/>
    </row>
    <row r="12">
      <c r="A12" s="9">
        <v>5.0</v>
      </c>
      <c r="B12" s="9" t="s">
        <v>369</v>
      </c>
      <c r="C12" s="11" t="s">
        <v>370</v>
      </c>
      <c r="D12" s="10" t="b">
        <v>1</v>
      </c>
      <c r="E12" s="11" t="s">
        <v>371</v>
      </c>
      <c r="F12" s="10" t="b">
        <v>1</v>
      </c>
      <c r="G12" s="9"/>
    </row>
    <row r="13">
      <c r="A13" s="9">
        <v>5.0</v>
      </c>
      <c r="B13" s="9" t="s">
        <v>372</v>
      </c>
      <c r="C13" s="9" t="s">
        <v>373</v>
      </c>
      <c r="D13" s="10" t="b">
        <v>1</v>
      </c>
      <c r="E13" s="9" t="s">
        <v>374</v>
      </c>
      <c r="F13" s="10" t="b">
        <v>1</v>
      </c>
      <c r="G13" s="9"/>
    </row>
    <row r="14">
      <c r="A14" s="9">
        <v>5.0</v>
      </c>
      <c r="B14" s="9" t="s">
        <v>375</v>
      </c>
      <c r="C14" s="9" t="s">
        <v>376</v>
      </c>
      <c r="D14" s="10" t="b">
        <v>1</v>
      </c>
      <c r="E14" s="9" t="s">
        <v>376</v>
      </c>
      <c r="F14" s="10" t="b">
        <v>1</v>
      </c>
      <c r="G14" s="9"/>
    </row>
    <row r="15">
      <c r="A15" s="9">
        <v>5.0</v>
      </c>
      <c r="B15" s="9" t="s">
        <v>377</v>
      </c>
      <c r="C15" s="9" t="s">
        <v>378</v>
      </c>
      <c r="D15" s="10" t="b">
        <v>1</v>
      </c>
      <c r="E15" s="9" t="s">
        <v>379</v>
      </c>
      <c r="F15" s="10" t="b">
        <v>1</v>
      </c>
      <c r="G15" s="9"/>
    </row>
    <row r="16">
      <c r="A16" s="9">
        <v>5.0</v>
      </c>
      <c r="B16" s="9" t="s">
        <v>380</v>
      </c>
      <c r="C16" s="10" t="s">
        <v>381</v>
      </c>
      <c r="D16" s="10" t="b">
        <v>1</v>
      </c>
      <c r="E16" s="10" t="s">
        <v>382</v>
      </c>
      <c r="F16" s="10" t="b">
        <v>1</v>
      </c>
      <c r="G16" s="9"/>
    </row>
    <row r="17">
      <c r="A17" s="9">
        <v>5.0</v>
      </c>
      <c r="B17" s="9" t="s">
        <v>383</v>
      </c>
      <c r="C17" s="11" t="s">
        <v>384</v>
      </c>
      <c r="D17" s="10" t="b">
        <v>1</v>
      </c>
      <c r="E17" s="11" t="s">
        <v>385</v>
      </c>
      <c r="F17" s="10" t="b">
        <v>1</v>
      </c>
      <c r="G17" s="9"/>
    </row>
    <row r="18">
      <c r="A18" s="9">
        <v>5.0</v>
      </c>
      <c r="B18" s="9" t="s">
        <v>386</v>
      </c>
      <c r="C18" s="9" t="s">
        <v>387</v>
      </c>
      <c r="D18" s="10" t="b">
        <v>1</v>
      </c>
      <c r="E18" s="9" t="s">
        <v>387</v>
      </c>
      <c r="F18" s="10" t="b">
        <v>1</v>
      </c>
      <c r="G18" s="9"/>
    </row>
    <row r="19">
      <c r="A19" s="9">
        <v>5.0</v>
      </c>
      <c r="B19" s="9" t="s">
        <v>388</v>
      </c>
      <c r="C19" s="9" t="s">
        <v>389</v>
      </c>
      <c r="D19" s="10" t="b">
        <v>1</v>
      </c>
      <c r="E19" s="9" t="s">
        <v>390</v>
      </c>
      <c r="F19" s="10" t="b">
        <v>1</v>
      </c>
      <c r="G19" s="9"/>
    </row>
    <row r="20" ht="15.75" customHeight="1">
      <c r="A20" s="9">
        <v>5.0</v>
      </c>
      <c r="B20" s="9" t="s">
        <v>391</v>
      </c>
      <c r="C20" s="9" t="s">
        <v>392</v>
      </c>
      <c r="D20" s="10" t="b">
        <v>1</v>
      </c>
      <c r="E20" s="9" t="s">
        <v>392</v>
      </c>
      <c r="F20" s="10" t="b">
        <v>1</v>
      </c>
      <c r="G20" s="9"/>
    </row>
    <row r="21" ht="15.75" customHeight="1">
      <c r="A21" s="9">
        <v>5.0</v>
      </c>
      <c r="B21" s="9" t="s">
        <v>393</v>
      </c>
      <c r="C21" s="9" t="s">
        <v>394</v>
      </c>
      <c r="D21" s="10" t="b">
        <v>1</v>
      </c>
      <c r="E21" s="9" t="s">
        <v>394</v>
      </c>
      <c r="F21" s="10" t="b">
        <v>1</v>
      </c>
      <c r="G21" s="9"/>
    </row>
    <row r="22" ht="15.75" customHeight="1">
      <c r="A22" s="9">
        <v>5.0</v>
      </c>
      <c r="B22" s="9" t="s">
        <v>395</v>
      </c>
      <c r="C22" s="9" t="s">
        <v>396</v>
      </c>
      <c r="D22" s="10" t="b">
        <v>1</v>
      </c>
      <c r="E22" s="9" t="s">
        <v>396</v>
      </c>
      <c r="F22" s="10" t="b">
        <v>1</v>
      </c>
      <c r="G22" s="9"/>
    </row>
    <row r="23" ht="15.75" customHeight="1">
      <c r="A23" s="9">
        <v>5.0</v>
      </c>
      <c r="B23" s="9" t="s">
        <v>397</v>
      </c>
      <c r="C23" s="9" t="s">
        <v>398</v>
      </c>
      <c r="D23" s="10" t="b">
        <v>1</v>
      </c>
      <c r="E23" s="9" t="s">
        <v>398</v>
      </c>
      <c r="F23" s="10" t="b">
        <v>1</v>
      </c>
      <c r="G23" s="9"/>
    </row>
    <row r="24" ht="15.75" customHeight="1">
      <c r="A24" s="9">
        <v>5.0</v>
      </c>
      <c r="B24" s="9" t="s">
        <v>399</v>
      </c>
      <c r="C24" s="11" t="s">
        <v>400</v>
      </c>
      <c r="D24" s="10" t="b">
        <v>1</v>
      </c>
      <c r="E24" s="11" t="s">
        <v>400</v>
      </c>
      <c r="F24" s="10" t="b">
        <v>1</v>
      </c>
      <c r="G24" s="9"/>
    </row>
    <row r="25" ht="15.75" customHeight="1">
      <c r="A25" s="9">
        <v>5.0</v>
      </c>
      <c r="B25" s="9" t="s">
        <v>401</v>
      </c>
      <c r="C25" s="11" t="s">
        <v>402</v>
      </c>
      <c r="D25" s="10" t="b">
        <v>1</v>
      </c>
      <c r="E25" s="11" t="s">
        <v>403</v>
      </c>
      <c r="F25" s="10" t="b">
        <v>1</v>
      </c>
      <c r="G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A52" s="9"/>
      <c r="B52" s="9"/>
      <c r="C52" s="9"/>
      <c r="D52" s="9"/>
      <c r="E52" s="9"/>
      <c r="F52" s="9"/>
      <c r="G52" s="9"/>
    </row>
    <row r="53" ht="15.75" customHeight="1">
      <c r="A53" s="9"/>
      <c r="B53" s="9"/>
      <c r="C53" s="9"/>
      <c r="D53" s="9"/>
      <c r="E53" s="9"/>
      <c r="F53" s="9"/>
      <c r="G53" s="9"/>
    </row>
    <row r="54" ht="15.75" customHeight="1">
      <c r="A54" s="9"/>
      <c r="B54" s="9"/>
      <c r="C54" s="9"/>
      <c r="D54" s="9"/>
      <c r="E54" s="9"/>
      <c r="F54" s="9"/>
      <c r="G54" s="9"/>
    </row>
    <row r="55" ht="15.75" customHeight="1">
      <c r="A55" s="9"/>
      <c r="B55" s="9"/>
      <c r="C55" s="9"/>
      <c r="D55" s="9"/>
      <c r="E55" s="9"/>
      <c r="F55" s="9"/>
      <c r="G55" s="9"/>
    </row>
    <row r="56" ht="15.75" customHeight="1">
      <c r="A56" s="9"/>
      <c r="B56" s="9"/>
      <c r="C56" s="9"/>
      <c r="D56" s="9"/>
      <c r="E56" s="9"/>
      <c r="F56" s="9"/>
      <c r="G56" s="9"/>
    </row>
    <row r="57" ht="15.75" customHeight="1">
      <c r="A57" s="9"/>
      <c r="B57" s="9"/>
      <c r="C57" s="9"/>
      <c r="D57" s="9"/>
      <c r="E57" s="9"/>
      <c r="F57" s="9"/>
      <c r="G57" s="9"/>
    </row>
    <row r="58" ht="15.75" customHeight="1">
      <c r="A58" s="9"/>
      <c r="B58" s="9"/>
      <c r="C58" s="9"/>
      <c r="D58" s="9"/>
      <c r="E58" s="9"/>
      <c r="F58" s="9"/>
      <c r="G58" s="9"/>
    </row>
    <row r="59" ht="15.75" customHeight="1">
      <c r="A59" s="9"/>
      <c r="B59" s="9"/>
      <c r="C59" s="9"/>
      <c r="D59" s="9"/>
      <c r="E59" s="9"/>
      <c r="F59" s="9"/>
      <c r="G59" s="9"/>
    </row>
    <row r="60" ht="15.75" customHeight="1">
      <c r="A60" s="9"/>
      <c r="B60" s="9"/>
      <c r="C60" s="9"/>
      <c r="D60" s="9"/>
      <c r="E60" s="9"/>
      <c r="F60" s="9"/>
      <c r="G60" s="9"/>
    </row>
    <row r="61" ht="15.75" customHeight="1">
      <c r="A61" s="9"/>
      <c r="B61" s="9"/>
      <c r="C61" s="9"/>
      <c r="D61" s="9"/>
      <c r="E61" s="9"/>
      <c r="F61" s="9"/>
      <c r="G61" s="9"/>
    </row>
    <row r="62" ht="15.75" customHeight="1">
      <c r="A62" s="9"/>
      <c r="B62" s="9"/>
      <c r="C62" s="9"/>
      <c r="D62" s="9"/>
      <c r="E62" s="9"/>
      <c r="F62" s="9"/>
      <c r="G62" s="9"/>
    </row>
    <row r="63" ht="15.75" customHeight="1">
      <c r="A63" s="9"/>
      <c r="B63" s="9"/>
      <c r="C63" s="9"/>
      <c r="D63" s="9"/>
      <c r="E63" s="9"/>
      <c r="F63" s="9"/>
      <c r="G63" s="9"/>
    </row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C74" s="3"/>
      <c r="D74" s="3"/>
      <c r="E74" s="3"/>
      <c r="F74" s="3"/>
      <c r="G74" s="3"/>
    </row>
    <row r="75" ht="15.75" customHeight="1">
      <c r="C75" s="3"/>
      <c r="D75" s="3"/>
      <c r="E75" s="3"/>
      <c r="F75" s="3"/>
      <c r="G75" s="3"/>
    </row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  <row r="995" ht="15.75" customHeight="1">
      <c r="C995" s="3"/>
      <c r="D995" s="3"/>
      <c r="E995" s="3"/>
      <c r="F995" s="3"/>
      <c r="G995" s="3"/>
    </row>
    <row r="996" ht="15.75" customHeight="1">
      <c r="C996" s="3"/>
      <c r="D996" s="3"/>
      <c r="E996" s="3"/>
      <c r="F996" s="3"/>
      <c r="G996" s="3"/>
    </row>
    <row r="997" ht="15.75" customHeight="1">
      <c r="C997" s="3"/>
      <c r="D997" s="3"/>
      <c r="E997" s="3"/>
      <c r="F997" s="3"/>
      <c r="G997" s="3"/>
    </row>
    <row r="998" ht="15.75" customHeight="1">
      <c r="C998" s="3"/>
      <c r="D998" s="3"/>
      <c r="E998" s="3"/>
      <c r="F998" s="3"/>
      <c r="G998" s="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6.0</v>
      </c>
      <c r="B2" s="9" t="s">
        <v>404</v>
      </c>
      <c r="C2" s="9" t="s">
        <v>405</v>
      </c>
      <c r="D2" s="10" t="b">
        <v>1</v>
      </c>
      <c r="E2" s="9" t="s">
        <v>405</v>
      </c>
      <c r="F2" s="10" t="b">
        <v>1</v>
      </c>
      <c r="G2" s="9"/>
    </row>
    <row r="3">
      <c r="A3" s="9">
        <v>6.0</v>
      </c>
      <c r="B3" s="9" t="s">
        <v>406</v>
      </c>
      <c r="C3" s="9" t="s">
        <v>407</v>
      </c>
      <c r="D3" s="9"/>
      <c r="E3" s="9" t="s">
        <v>408</v>
      </c>
      <c r="F3" s="9"/>
      <c r="G3" s="9"/>
    </row>
    <row r="4">
      <c r="A4" s="9">
        <v>6.0</v>
      </c>
      <c r="B4" s="9" t="s">
        <v>409</v>
      </c>
      <c r="C4" s="9" t="s">
        <v>410</v>
      </c>
      <c r="D4" s="10" t="b">
        <v>1</v>
      </c>
      <c r="E4" s="9" t="s">
        <v>411</v>
      </c>
      <c r="F4" s="10" t="b">
        <v>1</v>
      </c>
      <c r="G4" s="9"/>
    </row>
    <row r="5">
      <c r="A5" s="9">
        <v>6.0</v>
      </c>
      <c r="B5" s="9" t="s">
        <v>412</v>
      </c>
      <c r="C5" s="9" t="s">
        <v>413</v>
      </c>
      <c r="D5" s="10" t="b">
        <v>1</v>
      </c>
      <c r="E5" s="9" t="s">
        <v>413</v>
      </c>
      <c r="F5" s="10" t="b">
        <v>1</v>
      </c>
      <c r="G5" s="9"/>
    </row>
    <row r="6">
      <c r="A6" s="9">
        <v>6.0</v>
      </c>
      <c r="B6" s="9" t="s">
        <v>414</v>
      </c>
      <c r="C6" s="9" t="s">
        <v>415</v>
      </c>
      <c r="D6" s="10" t="b">
        <v>1</v>
      </c>
      <c r="E6" s="9" t="s">
        <v>415</v>
      </c>
      <c r="F6" s="10" t="b">
        <v>1</v>
      </c>
      <c r="G6" s="9"/>
    </row>
    <row r="7">
      <c r="A7" s="9">
        <v>6.0</v>
      </c>
      <c r="B7" s="9" t="s">
        <v>416</v>
      </c>
      <c r="C7" s="9" t="s">
        <v>417</v>
      </c>
      <c r="D7" s="10" t="b">
        <v>1</v>
      </c>
      <c r="E7" s="9" t="s">
        <v>417</v>
      </c>
      <c r="F7" s="10" t="b">
        <v>1</v>
      </c>
      <c r="G7" s="9"/>
    </row>
    <row r="8">
      <c r="A8" s="9">
        <v>6.0</v>
      </c>
      <c r="B8" s="9" t="s">
        <v>418</v>
      </c>
      <c r="C8" s="9" t="s">
        <v>419</v>
      </c>
      <c r="D8" s="10" t="b">
        <v>1</v>
      </c>
      <c r="E8" s="9" t="s">
        <v>420</v>
      </c>
      <c r="F8" s="9"/>
      <c r="G8" s="9"/>
    </row>
    <row r="9">
      <c r="A9" s="9">
        <v>6.0</v>
      </c>
      <c r="B9" s="9" t="s">
        <v>421</v>
      </c>
      <c r="C9" s="9" t="s">
        <v>422</v>
      </c>
      <c r="D9" s="10" t="b">
        <v>1</v>
      </c>
      <c r="E9" s="9" t="s">
        <v>423</v>
      </c>
      <c r="F9" s="10" t="b">
        <v>1</v>
      </c>
      <c r="G9" s="9"/>
    </row>
    <row r="10">
      <c r="A10" s="9">
        <v>6.0</v>
      </c>
      <c r="B10" s="9" t="s">
        <v>424</v>
      </c>
      <c r="C10" s="9" t="s">
        <v>425</v>
      </c>
      <c r="D10" s="10" t="b">
        <v>1</v>
      </c>
      <c r="E10" s="9" t="s">
        <v>426</v>
      </c>
      <c r="F10" s="10" t="b">
        <v>1</v>
      </c>
      <c r="G10" s="9"/>
    </row>
    <row r="11">
      <c r="A11" s="9">
        <v>6.0</v>
      </c>
      <c r="B11" s="9" t="s">
        <v>427</v>
      </c>
      <c r="C11" s="9" t="s">
        <v>428</v>
      </c>
      <c r="D11" s="10" t="b">
        <v>1</v>
      </c>
      <c r="E11" s="9" t="s">
        <v>428</v>
      </c>
      <c r="F11" s="10" t="b">
        <v>1</v>
      </c>
      <c r="G11" s="9"/>
    </row>
    <row r="12">
      <c r="A12" s="9">
        <v>6.0</v>
      </c>
      <c r="B12" s="9" t="s">
        <v>429</v>
      </c>
      <c r="C12" s="9" t="s">
        <v>430</v>
      </c>
      <c r="D12" s="10" t="b">
        <v>1</v>
      </c>
      <c r="E12" s="9" t="s">
        <v>431</v>
      </c>
      <c r="F12" s="10" t="b">
        <v>1</v>
      </c>
      <c r="G12" s="9"/>
    </row>
    <row r="13">
      <c r="A13" s="9">
        <v>6.0</v>
      </c>
      <c r="B13" s="9" t="s">
        <v>432</v>
      </c>
      <c r="C13" s="9" t="s">
        <v>433</v>
      </c>
      <c r="D13" s="10" t="b">
        <v>1</v>
      </c>
      <c r="E13" s="9" t="s">
        <v>433</v>
      </c>
      <c r="F13" s="10" t="b">
        <v>1</v>
      </c>
      <c r="G13" s="9"/>
    </row>
    <row r="14">
      <c r="A14" s="9">
        <v>6.0</v>
      </c>
      <c r="B14" s="9" t="s">
        <v>434</v>
      </c>
      <c r="C14" s="9" t="s">
        <v>435</v>
      </c>
      <c r="D14" s="10" t="b">
        <v>1</v>
      </c>
      <c r="E14" s="9" t="s">
        <v>435</v>
      </c>
      <c r="F14" s="10" t="b">
        <v>1</v>
      </c>
      <c r="G14" s="9"/>
    </row>
    <row r="15">
      <c r="A15" s="9">
        <v>6.0</v>
      </c>
      <c r="B15" s="9" t="s">
        <v>436</v>
      </c>
      <c r="C15" s="11" t="s">
        <v>437</v>
      </c>
      <c r="D15" s="10" t="b">
        <v>1</v>
      </c>
      <c r="E15" s="11" t="s">
        <v>438</v>
      </c>
      <c r="F15" s="10" t="b">
        <v>1</v>
      </c>
      <c r="G15" s="9"/>
    </row>
    <row r="16">
      <c r="A16" s="9">
        <v>6.0</v>
      </c>
      <c r="B16" s="9" t="s">
        <v>439</v>
      </c>
      <c r="C16" s="9" t="s">
        <v>440</v>
      </c>
      <c r="D16" s="10" t="b">
        <v>1</v>
      </c>
      <c r="E16" s="9" t="s">
        <v>441</v>
      </c>
      <c r="F16" s="9"/>
      <c r="G16" s="9"/>
    </row>
    <row r="17">
      <c r="A17" s="9">
        <v>6.0</v>
      </c>
      <c r="B17" s="9" t="s">
        <v>442</v>
      </c>
      <c r="C17" s="9" t="s">
        <v>443</v>
      </c>
      <c r="D17" s="9"/>
      <c r="E17" s="9" t="s">
        <v>444</v>
      </c>
      <c r="F17" s="9"/>
      <c r="G17" s="9"/>
    </row>
    <row r="18">
      <c r="A18" s="9">
        <v>6.0</v>
      </c>
      <c r="B18" s="9" t="s">
        <v>445</v>
      </c>
      <c r="C18" s="9" t="s">
        <v>446</v>
      </c>
      <c r="D18" s="10" t="b">
        <v>1</v>
      </c>
      <c r="E18" s="9" t="s">
        <v>446</v>
      </c>
      <c r="F18" s="10" t="b">
        <v>1</v>
      </c>
      <c r="G18" s="9"/>
    </row>
    <row r="19" ht="15.75" customHeight="1">
      <c r="A19" s="9">
        <v>6.0</v>
      </c>
      <c r="B19" s="9" t="s">
        <v>447</v>
      </c>
      <c r="C19" s="9" t="s">
        <v>448</v>
      </c>
      <c r="D19" s="10" t="b">
        <v>1</v>
      </c>
      <c r="E19" s="9" t="s">
        <v>448</v>
      </c>
      <c r="F19" s="10" t="b">
        <v>1</v>
      </c>
      <c r="G19" s="9"/>
    </row>
    <row r="20" ht="15.75" customHeight="1">
      <c r="A20" s="9">
        <v>6.0</v>
      </c>
      <c r="B20" s="9" t="s">
        <v>449</v>
      </c>
      <c r="C20" s="9" t="s">
        <v>450</v>
      </c>
      <c r="D20" s="10" t="b">
        <v>1</v>
      </c>
      <c r="E20" s="9" t="s">
        <v>450</v>
      </c>
      <c r="F20" s="10" t="b">
        <v>1</v>
      </c>
      <c r="G20" s="9"/>
    </row>
    <row r="21" ht="15.75" customHeight="1">
      <c r="A21" s="9">
        <v>6.0</v>
      </c>
      <c r="B21" s="9" t="s">
        <v>451</v>
      </c>
      <c r="C21" s="11" t="s">
        <v>452</v>
      </c>
      <c r="D21" s="10" t="b">
        <v>1</v>
      </c>
      <c r="E21" s="11" t="s">
        <v>453</v>
      </c>
      <c r="F21" s="10" t="b">
        <v>1</v>
      </c>
      <c r="G21" s="9"/>
    </row>
    <row r="22" ht="15.75" customHeight="1">
      <c r="A22" s="9">
        <v>6.0</v>
      </c>
      <c r="B22" s="9" t="s">
        <v>454</v>
      </c>
      <c r="C22" s="9" t="s">
        <v>455</v>
      </c>
      <c r="D22" s="10" t="b">
        <v>1</v>
      </c>
      <c r="E22" s="9" t="s">
        <v>456</v>
      </c>
      <c r="F22" s="10" t="b">
        <v>1</v>
      </c>
      <c r="G22" s="9"/>
    </row>
    <row r="23" ht="15.75" customHeight="1">
      <c r="A23" s="9">
        <v>6.0</v>
      </c>
      <c r="B23" s="9" t="s">
        <v>457</v>
      </c>
      <c r="C23" s="9" t="s">
        <v>458</v>
      </c>
      <c r="D23" s="10" t="b">
        <v>1</v>
      </c>
      <c r="E23" s="9" t="s">
        <v>458</v>
      </c>
      <c r="F23" s="10" t="b">
        <v>1</v>
      </c>
      <c r="G23" s="9"/>
    </row>
    <row r="24" ht="15.75" customHeight="1">
      <c r="A24" s="9">
        <v>6.0</v>
      </c>
      <c r="B24" s="9" t="s">
        <v>459</v>
      </c>
      <c r="C24" s="9" t="s">
        <v>460</v>
      </c>
      <c r="D24" s="10" t="b">
        <v>1</v>
      </c>
      <c r="E24" s="9" t="s">
        <v>461</v>
      </c>
      <c r="F24" s="10" t="b">
        <v>1</v>
      </c>
      <c r="G24" s="9"/>
    </row>
    <row r="25" ht="15.75" customHeight="1">
      <c r="A25" s="9">
        <v>6.0</v>
      </c>
      <c r="B25" s="9" t="s">
        <v>462</v>
      </c>
      <c r="C25" s="9" t="s">
        <v>463</v>
      </c>
      <c r="D25" s="10" t="b">
        <v>1</v>
      </c>
      <c r="E25" s="11" t="s">
        <v>464</v>
      </c>
      <c r="F25" s="10" t="b">
        <v>1</v>
      </c>
      <c r="G25" s="9"/>
    </row>
    <row r="26" ht="15.75" customHeight="1">
      <c r="A26" s="9">
        <v>6.0</v>
      </c>
      <c r="B26" s="9" t="s">
        <v>465</v>
      </c>
      <c r="C26" s="9" t="s">
        <v>466</v>
      </c>
      <c r="D26" s="10" t="b">
        <v>1</v>
      </c>
      <c r="E26" s="9" t="s">
        <v>466</v>
      </c>
      <c r="F26" s="10" t="b">
        <v>1</v>
      </c>
      <c r="G26" s="9"/>
    </row>
    <row r="27" ht="15.75" customHeight="1">
      <c r="A27" s="9">
        <v>6.0</v>
      </c>
      <c r="B27" s="9" t="s">
        <v>467</v>
      </c>
      <c r="C27" s="11" t="s">
        <v>468</v>
      </c>
      <c r="D27" s="10" t="b">
        <v>1</v>
      </c>
      <c r="E27" s="11" t="s">
        <v>469</v>
      </c>
      <c r="F27" s="10" t="b">
        <v>1</v>
      </c>
      <c r="G27" s="9"/>
    </row>
    <row r="28" ht="15.75" customHeight="1">
      <c r="A28" s="9">
        <v>6.0</v>
      </c>
      <c r="B28" s="9" t="s">
        <v>470</v>
      </c>
      <c r="C28" s="9" t="s">
        <v>471</v>
      </c>
      <c r="D28" s="10" t="b">
        <v>1</v>
      </c>
      <c r="E28" s="9" t="s">
        <v>471</v>
      </c>
      <c r="F28" s="10" t="b">
        <v>1</v>
      </c>
      <c r="G28" s="9"/>
    </row>
    <row r="29" ht="15.75" customHeight="1">
      <c r="A29" s="12">
        <v>6.0</v>
      </c>
      <c r="B29" s="12" t="s">
        <v>472</v>
      </c>
      <c r="C29" s="11" t="s">
        <v>473</v>
      </c>
      <c r="D29" s="11" t="b">
        <v>1</v>
      </c>
      <c r="E29" s="11" t="s">
        <v>474</v>
      </c>
      <c r="F29" s="11" t="b">
        <v>1</v>
      </c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customHeight="1">
      <c r="A30" s="9">
        <v>6.0</v>
      </c>
      <c r="B30" s="9" t="s">
        <v>475</v>
      </c>
      <c r="C30" s="9" t="s">
        <v>476</v>
      </c>
      <c r="D30" s="10" t="b">
        <v>1</v>
      </c>
      <c r="E30" s="9" t="s">
        <v>477</v>
      </c>
      <c r="F30" s="10" t="b">
        <v>1</v>
      </c>
      <c r="G30" s="9"/>
    </row>
    <row r="31" ht="15.75" customHeight="1">
      <c r="A31" s="9">
        <v>6.0</v>
      </c>
      <c r="B31" s="9" t="s">
        <v>478</v>
      </c>
      <c r="C31" s="9" t="s">
        <v>479</v>
      </c>
      <c r="D31" s="10" t="b">
        <v>1</v>
      </c>
      <c r="E31" s="9" t="s">
        <v>479</v>
      </c>
      <c r="F31" s="10" t="b">
        <v>1</v>
      </c>
      <c r="G31" s="9"/>
    </row>
    <row r="32" ht="15.75" customHeight="1">
      <c r="A32" s="12">
        <v>6.0</v>
      </c>
      <c r="B32" s="12" t="s">
        <v>480</v>
      </c>
      <c r="C32" s="11" t="s">
        <v>481</v>
      </c>
      <c r="D32" s="11" t="b">
        <v>1</v>
      </c>
      <c r="E32" s="11" t="s">
        <v>482</v>
      </c>
      <c r="F32" s="11" t="b">
        <v>1</v>
      </c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customHeight="1">
      <c r="A33" s="9">
        <v>6.0</v>
      </c>
      <c r="B33" s="9" t="s">
        <v>483</v>
      </c>
      <c r="C33" s="9" t="s">
        <v>484</v>
      </c>
      <c r="D33" s="10" t="b">
        <v>1</v>
      </c>
      <c r="E33" s="9" t="s">
        <v>484</v>
      </c>
      <c r="F33" s="10" t="b">
        <v>1</v>
      </c>
      <c r="G33" s="9"/>
    </row>
    <row r="34" ht="15.75" customHeight="1">
      <c r="A34" s="9">
        <v>6.0</v>
      </c>
      <c r="B34" s="9" t="s">
        <v>485</v>
      </c>
      <c r="C34" s="9" t="s">
        <v>486</v>
      </c>
      <c r="D34" s="10" t="b">
        <v>1</v>
      </c>
      <c r="E34" s="9" t="s">
        <v>487</v>
      </c>
      <c r="F34" s="10" t="b">
        <v>1</v>
      </c>
      <c r="G34" s="9"/>
    </row>
    <row r="35" ht="15.75" customHeight="1">
      <c r="A35" s="9">
        <v>6.0</v>
      </c>
      <c r="B35" s="9" t="s">
        <v>488</v>
      </c>
      <c r="C35" s="9" t="s">
        <v>489</v>
      </c>
      <c r="D35" s="10" t="b">
        <v>1</v>
      </c>
      <c r="E35" s="11" t="s">
        <v>490</v>
      </c>
      <c r="F35" s="10" t="b">
        <v>1</v>
      </c>
      <c r="G35" s="9"/>
    </row>
    <row r="36" ht="15.75" customHeight="1">
      <c r="A36" s="9">
        <v>6.0</v>
      </c>
      <c r="B36" s="9" t="s">
        <v>491</v>
      </c>
      <c r="C36" s="9" t="s">
        <v>492</v>
      </c>
      <c r="D36" s="10" t="b">
        <v>1</v>
      </c>
      <c r="E36" s="9" t="s">
        <v>493</v>
      </c>
      <c r="F36" s="10" t="b">
        <v>1</v>
      </c>
      <c r="G36" s="9"/>
    </row>
    <row r="37" ht="15.75" customHeight="1">
      <c r="A37" s="4">
        <v>6.0</v>
      </c>
      <c r="B37" s="4" t="s">
        <v>494</v>
      </c>
      <c r="C37" s="15" t="s">
        <v>495</v>
      </c>
      <c r="D37" s="1" t="b">
        <v>1</v>
      </c>
      <c r="E37" s="15" t="s">
        <v>496</v>
      </c>
      <c r="F37" s="1" t="b">
        <v>1</v>
      </c>
      <c r="G37" s="3"/>
    </row>
    <row r="38" ht="15.75" customHeight="1">
      <c r="A38" s="4">
        <v>6.0</v>
      </c>
      <c r="B38" s="4" t="s">
        <v>497</v>
      </c>
      <c r="C38" s="3" t="s">
        <v>498</v>
      </c>
      <c r="D38" s="1" t="b">
        <v>1</v>
      </c>
      <c r="E38" s="3" t="s">
        <v>499</v>
      </c>
      <c r="F38" s="1" t="b">
        <v>1</v>
      </c>
      <c r="G38" s="3"/>
    </row>
    <row r="39" ht="15.75" customHeight="1">
      <c r="A39" s="4">
        <v>6.0</v>
      </c>
      <c r="B39" s="4" t="s">
        <v>500</v>
      </c>
      <c r="C39" s="3" t="s">
        <v>340</v>
      </c>
      <c r="D39" s="1" t="b">
        <v>1</v>
      </c>
      <c r="E39" s="3" t="s">
        <v>340</v>
      </c>
      <c r="F39" s="1" t="b">
        <v>1</v>
      </c>
      <c r="G39" s="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  <row r="995" ht="15.75" customHeight="1">
      <c r="C995" s="3"/>
      <c r="D995" s="3"/>
      <c r="E995" s="3"/>
      <c r="F995" s="3"/>
      <c r="G995" s="3"/>
    </row>
    <row r="996" ht="15.75" customHeight="1">
      <c r="C996" s="3"/>
      <c r="D996" s="3"/>
      <c r="E996" s="3"/>
      <c r="F996" s="3"/>
      <c r="G996" s="3"/>
    </row>
    <row r="997" ht="15.75" customHeight="1">
      <c r="C997" s="3"/>
      <c r="D997" s="3"/>
      <c r="E997" s="3"/>
      <c r="F997" s="3"/>
      <c r="G997" s="3"/>
    </row>
    <row r="998" ht="15.75" customHeight="1">
      <c r="C998" s="3"/>
      <c r="D998" s="3"/>
      <c r="E998" s="3"/>
      <c r="F998" s="3"/>
      <c r="G998" s="3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7.0</v>
      </c>
      <c r="B2" s="9" t="s">
        <v>501</v>
      </c>
      <c r="C2" s="11" t="s">
        <v>502</v>
      </c>
      <c r="D2" s="10" t="b">
        <v>1</v>
      </c>
      <c r="E2" s="11" t="s">
        <v>503</v>
      </c>
      <c r="F2" s="10" t="b">
        <v>1</v>
      </c>
      <c r="G2" s="9"/>
    </row>
    <row r="3">
      <c r="A3" s="9">
        <v>7.0</v>
      </c>
      <c r="B3" s="9" t="s">
        <v>504</v>
      </c>
      <c r="C3" s="11" t="s">
        <v>505</v>
      </c>
      <c r="D3" s="10" t="b">
        <v>1</v>
      </c>
      <c r="E3" s="11" t="s">
        <v>506</v>
      </c>
      <c r="F3" s="10" t="b">
        <v>1</v>
      </c>
      <c r="G3" s="9"/>
    </row>
    <row r="4">
      <c r="A4" s="9">
        <v>7.0</v>
      </c>
      <c r="B4" s="9" t="s">
        <v>507</v>
      </c>
      <c r="C4" s="9" t="s">
        <v>508</v>
      </c>
      <c r="D4" s="10" t="b">
        <v>1</v>
      </c>
      <c r="E4" s="11" t="s">
        <v>509</v>
      </c>
      <c r="F4" s="10" t="b">
        <v>1</v>
      </c>
      <c r="G4" s="9"/>
    </row>
    <row r="5">
      <c r="A5" s="9">
        <v>7.0</v>
      </c>
      <c r="B5" s="9" t="s">
        <v>510</v>
      </c>
      <c r="C5" s="11" t="s">
        <v>511</v>
      </c>
      <c r="D5" s="10" t="b">
        <v>1</v>
      </c>
      <c r="E5" s="11" t="s">
        <v>512</v>
      </c>
      <c r="F5" s="10" t="b">
        <v>1</v>
      </c>
      <c r="G5" s="9"/>
    </row>
    <row r="6">
      <c r="A6" s="9">
        <v>7.0</v>
      </c>
      <c r="B6" s="9" t="s">
        <v>513</v>
      </c>
      <c r="C6" s="9" t="s">
        <v>514</v>
      </c>
      <c r="D6" s="10" t="b">
        <v>1</v>
      </c>
      <c r="E6" s="9" t="s">
        <v>514</v>
      </c>
      <c r="F6" s="10" t="b">
        <v>1</v>
      </c>
      <c r="G6" s="9"/>
    </row>
    <row r="7">
      <c r="A7" s="9">
        <v>7.0</v>
      </c>
      <c r="B7" s="9" t="s">
        <v>515</v>
      </c>
      <c r="C7" s="11" t="s">
        <v>516</v>
      </c>
      <c r="D7" s="10" t="b">
        <v>1</v>
      </c>
      <c r="E7" s="11" t="s">
        <v>517</v>
      </c>
      <c r="F7" s="10" t="b">
        <v>1</v>
      </c>
      <c r="G7" s="9"/>
    </row>
    <row r="8">
      <c r="A8" s="9">
        <v>7.0</v>
      </c>
      <c r="B8" s="9" t="s">
        <v>518</v>
      </c>
      <c r="C8" s="9" t="s">
        <v>519</v>
      </c>
      <c r="D8" s="10" t="b">
        <v>1</v>
      </c>
      <c r="E8" s="9" t="s">
        <v>520</v>
      </c>
      <c r="F8" s="10" t="b">
        <v>1</v>
      </c>
      <c r="G8" s="9"/>
    </row>
    <row r="9">
      <c r="A9" s="9">
        <v>7.0</v>
      </c>
      <c r="B9" s="9" t="s">
        <v>521</v>
      </c>
      <c r="C9" s="9" t="s">
        <v>522</v>
      </c>
      <c r="D9" s="10" t="b">
        <v>1</v>
      </c>
      <c r="E9" s="9" t="s">
        <v>523</v>
      </c>
      <c r="F9" s="10" t="b">
        <v>1</v>
      </c>
      <c r="G9" s="9"/>
    </row>
    <row r="10">
      <c r="A10" s="9">
        <v>7.0</v>
      </c>
      <c r="B10" s="9" t="s">
        <v>524</v>
      </c>
      <c r="C10" s="9" t="s">
        <v>525</v>
      </c>
      <c r="D10" s="10" t="b">
        <v>1</v>
      </c>
      <c r="E10" s="9" t="s">
        <v>526</v>
      </c>
      <c r="F10" s="10" t="b">
        <v>1</v>
      </c>
      <c r="G10" s="9"/>
    </row>
    <row r="11">
      <c r="A11" s="9">
        <v>7.0</v>
      </c>
      <c r="B11" s="9" t="s">
        <v>527</v>
      </c>
      <c r="C11" s="9" t="s">
        <v>528</v>
      </c>
      <c r="D11" s="10" t="b">
        <v>1</v>
      </c>
      <c r="E11" s="9" t="s">
        <v>528</v>
      </c>
      <c r="F11" s="10" t="b">
        <v>1</v>
      </c>
      <c r="G11" s="9"/>
    </row>
    <row r="12">
      <c r="A12" s="9">
        <v>7.0</v>
      </c>
      <c r="B12" s="9" t="s">
        <v>529</v>
      </c>
      <c r="C12" s="11" t="s">
        <v>530</v>
      </c>
      <c r="D12" s="10" t="b">
        <v>1</v>
      </c>
      <c r="E12" s="9" t="s">
        <v>531</v>
      </c>
      <c r="F12" s="10" t="b">
        <v>1</v>
      </c>
      <c r="G12" s="9"/>
    </row>
    <row r="13">
      <c r="A13" s="9">
        <v>7.0</v>
      </c>
      <c r="B13" s="9" t="s">
        <v>532</v>
      </c>
      <c r="C13" s="11" t="s">
        <v>533</v>
      </c>
      <c r="D13" s="10" t="b">
        <v>1</v>
      </c>
      <c r="E13" s="11" t="s">
        <v>534</v>
      </c>
      <c r="F13" s="10" t="b">
        <v>1</v>
      </c>
      <c r="G13" s="9"/>
    </row>
    <row r="14">
      <c r="A14" s="9">
        <v>7.0</v>
      </c>
      <c r="B14" s="9" t="s">
        <v>535</v>
      </c>
      <c r="C14" s="9" t="s">
        <v>536</v>
      </c>
      <c r="D14" s="10" t="b">
        <v>1</v>
      </c>
      <c r="E14" s="9" t="s">
        <v>537</v>
      </c>
      <c r="F14" s="10" t="b">
        <v>1</v>
      </c>
      <c r="G14" s="9"/>
    </row>
    <row r="15">
      <c r="A15" s="9">
        <v>7.0</v>
      </c>
      <c r="B15" s="9" t="s">
        <v>538</v>
      </c>
      <c r="C15" s="9" t="s">
        <v>539</v>
      </c>
      <c r="D15" s="10" t="b">
        <v>1</v>
      </c>
      <c r="E15" s="9" t="s">
        <v>539</v>
      </c>
      <c r="F15" s="10" t="b">
        <v>1</v>
      </c>
      <c r="G15" s="9"/>
    </row>
    <row r="16">
      <c r="A16" s="9">
        <v>7.0</v>
      </c>
      <c r="B16" s="9" t="s">
        <v>540</v>
      </c>
      <c r="C16" s="9" t="s">
        <v>541</v>
      </c>
      <c r="D16" s="10" t="b">
        <v>1</v>
      </c>
      <c r="E16" s="9" t="s">
        <v>541</v>
      </c>
      <c r="F16" s="10" t="b">
        <v>1</v>
      </c>
      <c r="G16" s="9"/>
    </row>
    <row r="17">
      <c r="A17" s="9">
        <v>7.0</v>
      </c>
      <c r="B17" s="9" t="s">
        <v>542</v>
      </c>
      <c r="C17" s="9" t="s">
        <v>543</v>
      </c>
      <c r="D17" s="10" t="b">
        <v>1</v>
      </c>
      <c r="E17" s="9" t="s">
        <v>544</v>
      </c>
      <c r="F17" s="10" t="b">
        <v>1</v>
      </c>
      <c r="G17" s="9"/>
    </row>
    <row r="18">
      <c r="A18" s="9">
        <v>7.0</v>
      </c>
      <c r="B18" s="9" t="s">
        <v>545</v>
      </c>
      <c r="C18" s="11" t="s">
        <v>546</v>
      </c>
      <c r="D18" s="10" t="b">
        <v>1</v>
      </c>
      <c r="E18" s="11" t="s">
        <v>547</v>
      </c>
      <c r="F18" s="10" t="b">
        <v>1</v>
      </c>
      <c r="G18" s="9"/>
    </row>
    <row r="19">
      <c r="A19" s="9">
        <v>7.0</v>
      </c>
      <c r="B19" s="9" t="s">
        <v>548</v>
      </c>
      <c r="C19" s="9" t="s">
        <v>549</v>
      </c>
      <c r="D19" s="10" t="b">
        <v>1</v>
      </c>
      <c r="E19" s="9" t="s">
        <v>549</v>
      </c>
      <c r="F19" s="10" t="b">
        <v>1</v>
      </c>
      <c r="G19" s="9"/>
    </row>
    <row r="20">
      <c r="A20" s="9">
        <v>7.0</v>
      </c>
      <c r="B20" s="9" t="s">
        <v>550</v>
      </c>
      <c r="C20" s="9" t="s">
        <v>551</v>
      </c>
      <c r="D20" s="10" t="b">
        <v>1</v>
      </c>
      <c r="E20" s="9" t="s">
        <v>551</v>
      </c>
      <c r="F20" s="10" t="b">
        <v>1</v>
      </c>
      <c r="G20" s="9"/>
    </row>
    <row r="21" ht="15.75" customHeight="1">
      <c r="A21" s="9">
        <v>7.0</v>
      </c>
      <c r="B21" s="9" t="s">
        <v>552</v>
      </c>
      <c r="C21" s="11" t="s">
        <v>553</v>
      </c>
      <c r="D21" s="10" t="b">
        <v>1</v>
      </c>
      <c r="E21" s="9" t="s">
        <v>554</v>
      </c>
      <c r="F21" s="10" t="b">
        <v>1</v>
      </c>
      <c r="G21" s="9"/>
    </row>
    <row r="22" ht="15.75" customHeight="1">
      <c r="A22" s="9">
        <v>7.0</v>
      </c>
      <c r="B22" s="9" t="s">
        <v>555</v>
      </c>
      <c r="C22" s="10" t="s">
        <v>556</v>
      </c>
      <c r="D22" s="10" t="b">
        <v>1</v>
      </c>
      <c r="E22" s="10" t="s">
        <v>556</v>
      </c>
      <c r="F22" s="10" t="b">
        <v>1</v>
      </c>
      <c r="G22" s="9"/>
    </row>
    <row r="23" ht="15.75" customHeight="1">
      <c r="A23" s="9">
        <v>7.0</v>
      </c>
      <c r="B23" s="9" t="s">
        <v>557</v>
      </c>
      <c r="C23" s="11" t="s">
        <v>558</v>
      </c>
      <c r="D23" s="10" t="b">
        <v>1</v>
      </c>
      <c r="E23" s="11" t="s">
        <v>559</v>
      </c>
      <c r="F23" s="10" t="b">
        <v>1</v>
      </c>
      <c r="G23" s="9"/>
    </row>
    <row r="24" ht="15.75" customHeight="1">
      <c r="A24" s="9">
        <v>7.0</v>
      </c>
      <c r="B24" s="9" t="s">
        <v>560</v>
      </c>
      <c r="C24" s="9" t="s">
        <v>561</v>
      </c>
      <c r="D24" s="10" t="b">
        <v>1</v>
      </c>
      <c r="E24" s="9" t="s">
        <v>561</v>
      </c>
      <c r="F24" s="10" t="b">
        <v>1</v>
      </c>
      <c r="G24" s="9"/>
    </row>
    <row r="25" ht="15.75" customHeight="1">
      <c r="A25" s="9">
        <v>7.0</v>
      </c>
      <c r="B25" s="9" t="s">
        <v>562</v>
      </c>
      <c r="C25" s="11" t="s">
        <v>563</v>
      </c>
      <c r="D25" s="10" t="b">
        <v>1</v>
      </c>
      <c r="E25" s="11" t="s">
        <v>563</v>
      </c>
      <c r="F25" s="10" t="b">
        <v>1</v>
      </c>
      <c r="G25" s="9"/>
    </row>
    <row r="26" ht="15.75" customHeight="1">
      <c r="A26" s="9">
        <v>7.0</v>
      </c>
      <c r="B26" s="9" t="s">
        <v>564</v>
      </c>
      <c r="C26" s="11" t="s">
        <v>565</v>
      </c>
      <c r="D26" s="10" t="b">
        <v>1</v>
      </c>
      <c r="E26" s="11" t="s">
        <v>565</v>
      </c>
      <c r="F26" s="10" t="b">
        <v>1</v>
      </c>
      <c r="G26" s="9"/>
    </row>
    <row r="27" ht="15.75" customHeight="1">
      <c r="A27" s="9">
        <v>7.0</v>
      </c>
      <c r="B27" s="9" t="s">
        <v>566</v>
      </c>
      <c r="C27" s="9" t="s">
        <v>567</v>
      </c>
      <c r="D27" s="10" t="b">
        <v>1</v>
      </c>
      <c r="E27" s="9" t="s">
        <v>567</v>
      </c>
      <c r="F27" s="10" t="b">
        <v>1</v>
      </c>
      <c r="G27" s="9"/>
    </row>
    <row r="28" ht="15.75" customHeight="1">
      <c r="A28" s="9">
        <v>7.0</v>
      </c>
      <c r="B28" s="9" t="s">
        <v>568</v>
      </c>
      <c r="C28" s="9" t="s">
        <v>569</v>
      </c>
      <c r="D28" s="10" t="b">
        <v>1</v>
      </c>
      <c r="E28" s="9" t="s">
        <v>569</v>
      </c>
      <c r="F28" s="10" t="b">
        <v>1</v>
      </c>
      <c r="G28" s="9"/>
    </row>
    <row r="29" ht="15.75" customHeight="1">
      <c r="A29" s="9">
        <v>7.0</v>
      </c>
      <c r="B29" s="9" t="s">
        <v>570</v>
      </c>
      <c r="C29" s="10" t="s">
        <v>571</v>
      </c>
      <c r="D29" s="10" t="b">
        <v>1</v>
      </c>
      <c r="E29" s="10" t="s">
        <v>572</v>
      </c>
      <c r="F29" s="10" t="b">
        <v>1</v>
      </c>
      <c r="G29" s="9"/>
    </row>
    <row r="30" ht="15.75" customHeight="1">
      <c r="A30" s="9">
        <v>7.0</v>
      </c>
      <c r="B30" s="9" t="s">
        <v>573</v>
      </c>
      <c r="C30" s="9" t="s">
        <v>574</v>
      </c>
      <c r="D30" s="10" t="b">
        <v>1</v>
      </c>
      <c r="E30" s="9" t="s">
        <v>574</v>
      </c>
      <c r="F30" s="10" t="b">
        <v>1</v>
      </c>
      <c r="G30" s="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>
      <c r="A61" s="9"/>
      <c r="B61" s="9"/>
      <c r="C61" s="9"/>
      <c r="D61" s="9"/>
      <c r="E61" s="9"/>
      <c r="F61" s="9"/>
      <c r="G61" s="9"/>
    </row>
    <row r="62" ht="15.75" customHeight="1">
      <c r="A62" s="9"/>
      <c r="B62" s="9"/>
      <c r="C62" s="9"/>
      <c r="D62" s="9"/>
      <c r="E62" s="9"/>
      <c r="F62" s="9"/>
      <c r="G62" s="9"/>
    </row>
    <row r="63" ht="15.75" customHeight="1">
      <c r="A63" s="9"/>
      <c r="B63" s="9"/>
      <c r="C63" s="9"/>
      <c r="D63" s="9"/>
      <c r="E63" s="9"/>
      <c r="F63" s="9"/>
      <c r="G63" s="9"/>
    </row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A74" s="9"/>
      <c r="B74" s="9"/>
      <c r="C74" s="9"/>
      <c r="D74" s="9"/>
      <c r="E74" s="9"/>
      <c r="F74" s="9"/>
      <c r="G74" s="9"/>
    </row>
    <row r="75" ht="15.75" customHeight="1">
      <c r="C75" s="3"/>
      <c r="D75" s="3"/>
      <c r="E75" s="3"/>
      <c r="F75" s="3"/>
      <c r="G75" s="3"/>
    </row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  <row r="995" ht="15.75" customHeight="1">
      <c r="C995" s="3"/>
      <c r="D995" s="3"/>
      <c r="E995" s="3"/>
      <c r="F995" s="3"/>
      <c r="G995" s="3"/>
    </row>
    <row r="996" ht="15.75" customHeight="1">
      <c r="C996" s="3"/>
      <c r="D996" s="3"/>
      <c r="E996" s="3"/>
      <c r="F996" s="3"/>
      <c r="G996" s="3"/>
    </row>
    <row r="997" ht="15.75" customHeight="1">
      <c r="C997" s="3"/>
      <c r="D997" s="3"/>
      <c r="E997" s="3"/>
      <c r="F997" s="3"/>
      <c r="G997" s="3"/>
    </row>
    <row r="998" ht="15.75" customHeight="1">
      <c r="C998" s="3"/>
      <c r="D998" s="3"/>
      <c r="E998" s="3"/>
      <c r="F998" s="3"/>
      <c r="G998" s="3"/>
    </row>
    <row r="999" ht="15.75" customHeight="1">
      <c r="C999" s="3"/>
      <c r="D999" s="3"/>
      <c r="E999" s="3"/>
      <c r="F999" s="3"/>
      <c r="G999" s="3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8.0</v>
      </c>
      <c r="B2" s="9" t="s">
        <v>575</v>
      </c>
      <c r="C2" s="11" t="s">
        <v>576</v>
      </c>
      <c r="D2" s="10" t="b">
        <v>1</v>
      </c>
      <c r="E2" s="11" t="s">
        <v>577</v>
      </c>
      <c r="F2" s="10" t="b">
        <v>1</v>
      </c>
      <c r="G2" s="9"/>
    </row>
    <row r="3">
      <c r="A3" s="9">
        <v>8.0</v>
      </c>
      <c r="B3" s="9" t="s">
        <v>578</v>
      </c>
      <c r="C3" s="11" t="s">
        <v>579</v>
      </c>
      <c r="D3" s="9"/>
      <c r="E3" s="11" t="s">
        <v>580</v>
      </c>
      <c r="F3" s="9"/>
      <c r="G3" s="9"/>
    </row>
    <row r="4">
      <c r="A4" s="9">
        <v>8.0</v>
      </c>
      <c r="B4" s="9" t="s">
        <v>581</v>
      </c>
      <c r="C4" s="9" t="s">
        <v>582</v>
      </c>
      <c r="D4" s="10" t="b">
        <v>1</v>
      </c>
      <c r="E4" s="9" t="s">
        <v>582</v>
      </c>
      <c r="F4" s="10" t="b">
        <v>1</v>
      </c>
      <c r="G4" s="9"/>
    </row>
    <row r="5">
      <c r="A5" s="9">
        <v>8.0</v>
      </c>
      <c r="B5" s="9" t="s">
        <v>583</v>
      </c>
      <c r="C5" s="11" t="s">
        <v>584</v>
      </c>
      <c r="D5" s="10" t="b">
        <v>1</v>
      </c>
      <c r="E5" s="11" t="s">
        <v>585</v>
      </c>
      <c r="F5" s="10" t="b">
        <v>1</v>
      </c>
      <c r="G5" s="9"/>
    </row>
    <row r="6">
      <c r="A6" s="9">
        <v>8.0</v>
      </c>
      <c r="B6" s="9" t="s">
        <v>586</v>
      </c>
      <c r="C6" s="9" t="s">
        <v>587</v>
      </c>
      <c r="D6" s="10" t="b">
        <v>1</v>
      </c>
      <c r="E6" s="9" t="s">
        <v>588</v>
      </c>
      <c r="F6" s="10" t="b">
        <v>1</v>
      </c>
      <c r="G6" s="9"/>
    </row>
    <row r="7">
      <c r="A7" s="9">
        <v>8.0</v>
      </c>
      <c r="B7" s="9" t="s">
        <v>589</v>
      </c>
      <c r="C7" s="9" t="s">
        <v>590</v>
      </c>
      <c r="D7" s="10" t="b">
        <v>1</v>
      </c>
      <c r="E7" s="11" t="s">
        <v>591</v>
      </c>
      <c r="F7" s="10" t="b">
        <v>1</v>
      </c>
      <c r="G7" s="9"/>
    </row>
    <row r="8">
      <c r="A8" s="9">
        <v>8.0</v>
      </c>
      <c r="B8" s="9" t="s">
        <v>592</v>
      </c>
      <c r="C8" s="9" t="s">
        <v>593</v>
      </c>
      <c r="D8" s="10" t="b">
        <v>1</v>
      </c>
      <c r="E8" s="9" t="s">
        <v>593</v>
      </c>
      <c r="F8" s="10" t="b">
        <v>1</v>
      </c>
      <c r="G8" s="9"/>
    </row>
    <row r="9">
      <c r="A9" s="9">
        <v>8.0</v>
      </c>
      <c r="B9" s="9" t="s">
        <v>594</v>
      </c>
      <c r="C9" s="9" t="s">
        <v>595</v>
      </c>
      <c r="D9" s="10" t="b">
        <v>1</v>
      </c>
      <c r="E9" s="9" t="s">
        <v>595</v>
      </c>
      <c r="F9" s="10" t="b">
        <v>1</v>
      </c>
      <c r="G9" s="9"/>
    </row>
    <row r="10">
      <c r="A10" s="9">
        <v>8.0</v>
      </c>
      <c r="B10" s="9" t="s">
        <v>596</v>
      </c>
      <c r="C10" s="9" t="s">
        <v>597</v>
      </c>
      <c r="D10" s="10" t="b">
        <v>1</v>
      </c>
      <c r="E10" s="9" t="s">
        <v>598</v>
      </c>
      <c r="F10" s="10" t="b">
        <v>1</v>
      </c>
      <c r="G10" s="9"/>
    </row>
    <row r="11">
      <c r="A11" s="9">
        <v>8.0</v>
      </c>
      <c r="B11" s="9" t="s">
        <v>599</v>
      </c>
      <c r="C11" s="9" t="s">
        <v>600</v>
      </c>
      <c r="D11" s="10" t="b">
        <v>1</v>
      </c>
      <c r="E11" s="9" t="s">
        <v>600</v>
      </c>
      <c r="F11" s="10" t="b">
        <v>1</v>
      </c>
      <c r="G11" s="9"/>
    </row>
    <row r="12">
      <c r="A12" s="9">
        <v>8.0</v>
      </c>
      <c r="B12" s="9" t="s">
        <v>601</v>
      </c>
      <c r="C12" s="9" t="s">
        <v>602</v>
      </c>
      <c r="D12" s="10" t="b">
        <v>1</v>
      </c>
      <c r="E12" s="9" t="s">
        <v>603</v>
      </c>
      <c r="F12" s="10" t="b">
        <v>1</v>
      </c>
      <c r="G12" s="9"/>
    </row>
    <row r="13">
      <c r="A13" s="9">
        <v>8.0</v>
      </c>
      <c r="B13" s="9" t="s">
        <v>604</v>
      </c>
      <c r="C13" s="11" t="s">
        <v>605</v>
      </c>
      <c r="D13" s="10" t="b">
        <v>1</v>
      </c>
      <c r="E13" s="9" t="s">
        <v>606</v>
      </c>
      <c r="F13" s="10" t="b">
        <v>1</v>
      </c>
      <c r="G13" s="9"/>
    </row>
    <row r="14">
      <c r="A14" s="9">
        <v>8.0</v>
      </c>
      <c r="B14" s="9" t="s">
        <v>607</v>
      </c>
      <c r="C14" s="9" t="s">
        <v>608</v>
      </c>
      <c r="D14" s="10" t="b">
        <v>1</v>
      </c>
      <c r="E14" s="9" t="s">
        <v>608</v>
      </c>
      <c r="F14" s="10" t="b">
        <v>1</v>
      </c>
      <c r="G14" s="9"/>
    </row>
    <row r="15">
      <c r="A15" s="9">
        <v>8.0</v>
      </c>
      <c r="B15" s="9" t="s">
        <v>609</v>
      </c>
      <c r="C15" s="11" t="s">
        <v>610</v>
      </c>
      <c r="D15" s="10" t="b">
        <v>1</v>
      </c>
      <c r="E15" s="11" t="s">
        <v>611</v>
      </c>
      <c r="F15" s="10" t="b">
        <v>1</v>
      </c>
      <c r="G15" s="9"/>
    </row>
    <row r="16">
      <c r="A16" s="9">
        <v>8.0</v>
      </c>
      <c r="B16" s="9" t="s">
        <v>612</v>
      </c>
      <c r="C16" s="9" t="s">
        <v>613</v>
      </c>
      <c r="D16" s="10" t="b">
        <v>1</v>
      </c>
      <c r="E16" s="9" t="s">
        <v>613</v>
      </c>
      <c r="F16" s="10" t="b">
        <v>1</v>
      </c>
      <c r="G16" s="9"/>
    </row>
    <row r="17">
      <c r="A17" s="9">
        <v>8.0</v>
      </c>
      <c r="B17" s="9" t="s">
        <v>614</v>
      </c>
      <c r="C17" s="9" t="s">
        <v>615</v>
      </c>
      <c r="D17" s="10" t="b">
        <v>1</v>
      </c>
      <c r="E17" s="9" t="s">
        <v>615</v>
      </c>
      <c r="F17" s="10" t="b">
        <v>1</v>
      </c>
      <c r="G17" s="9"/>
    </row>
    <row r="18">
      <c r="A18" s="9">
        <v>8.0</v>
      </c>
      <c r="B18" s="9" t="s">
        <v>616</v>
      </c>
      <c r="C18" s="11" t="s">
        <v>617</v>
      </c>
      <c r="D18" s="10" t="b">
        <v>1</v>
      </c>
      <c r="E18" s="9" t="s">
        <v>618</v>
      </c>
      <c r="F18" s="10" t="b">
        <v>1</v>
      </c>
      <c r="G18" s="9"/>
    </row>
    <row r="19">
      <c r="A19" s="9">
        <v>8.0</v>
      </c>
      <c r="B19" s="9" t="s">
        <v>619</v>
      </c>
      <c r="C19" s="9" t="s">
        <v>620</v>
      </c>
      <c r="D19" s="10" t="b">
        <v>1</v>
      </c>
      <c r="E19" s="9" t="s">
        <v>621</v>
      </c>
      <c r="F19" s="10" t="b">
        <v>1</v>
      </c>
      <c r="G19" s="9"/>
    </row>
    <row r="20">
      <c r="A20" s="9">
        <v>8.0</v>
      </c>
      <c r="B20" s="9" t="s">
        <v>622</v>
      </c>
      <c r="C20" s="9" t="s">
        <v>623</v>
      </c>
      <c r="D20" s="10" t="b">
        <v>1</v>
      </c>
      <c r="E20" s="9" t="s">
        <v>623</v>
      </c>
      <c r="F20" s="10" t="b">
        <v>1</v>
      </c>
      <c r="G20" s="9"/>
    </row>
    <row r="21" ht="15.75" customHeight="1">
      <c r="A21" s="9">
        <v>8.0</v>
      </c>
      <c r="B21" s="9" t="s">
        <v>624</v>
      </c>
      <c r="C21" s="11" t="s">
        <v>625</v>
      </c>
      <c r="D21" s="10" t="b">
        <v>1</v>
      </c>
      <c r="E21" s="11" t="s">
        <v>626</v>
      </c>
      <c r="F21" s="10" t="b">
        <v>1</v>
      </c>
      <c r="G21" s="9"/>
    </row>
    <row r="22" ht="15.75" customHeight="1">
      <c r="A22" s="9">
        <v>8.0</v>
      </c>
      <c r="B22" s="9" t="s">
        <v>627</v>
      </c>
      <c r="C22" s="9" t="s">
        <v>628</v>
      </c>
      <c r="D22" s="10" t="b">
        <v>1</v>
      </c>
      <c r="E22" s="11" t="s">
        <v>629</v>
      </c>
      <c r="F22" s="10" t="b">
        <v>1</v>
      </c>
      <c r="G22" s="9"/>
    </row>
    <row r="23" ht="15.75" customHeight="1">
      <c r="A23" s="9">
        <v>8.0</v>
      </c>
      <c r="B23" s="9" t="s">
        <v>630</v>
      </c>
      <c r="C23" s="9" t="s">
        <v>631</v>
      </c>
      <c r="D23" s="10" t="b">
        <v>1</v>
      </c>
      <c r="E23" s="9" t="s">
        <v>632</v>
      </c>
      <c r="F23" s="10" t="b">
        <v>1</v>
      </c>
      <c r="G23" s="9"/>
    </row>
    <row r="24" ht="15.75" customHeight="1">
      <c r="A24" s="9">
        <v>8.0</v>
      </c>
      <c r="B24" s="9" t="s">
        <v>633</v>
      </c>
      <c r="C24" s="9" t="s">
        <v>634</v>
      </c>
      <c r="D24" s="10" t="b">
        <v>1</v>
      </c>
      <c r="E24" s="9" t="s">
        <v>634</v>
      </c>
      <c r="F24" s="10" t="b">
        <v>1</v>
      </c>
      <c r="G24" s="9"/>
    </row>
    <row r="25" ht="15.75" customHeight="1">
      <c r="A25" s="9">
        <v>8.0</v>
      </c>
      <c r="B25" s="9" t="s">
        <v>635</v>
      </c>
      <c r="C25" s="9" t="s">
        <v>636</v>
      </c>
      <c r="D25" s="10" t="b">
        <v>1</v>
      </c>
      <c r="E25" s="9" t="s">
        <v>636</v>
      </c>
      <c r="F25" s="10" t="b">
        <v>1</v>
      </c>
      <c r="G25" s="9"/>
    </row>
    <row r="26" ht="15.75" customHeight="1">
      <c r="A26" s="9">
        <v>8.0</v>
      </c>
      <c r="B26" s="9" t="s">
        <v>637</v>
      </c>
      <c r="C26" s="9" t="s">
        <v>638</v>
      </c>
      <c r="D26" s="10" t="b">
        <v>1</v>
      </c>
      <c r="E26" s="9" t="s">
        <v>639</v>
      </c>
      <c r="F26" s="10" t="b">
        <v>1</v>
      </c>
      <c r="G26" s="9"/>
    </row>
    <row r="27" ht="15.75" customHeight="1">
      <c r="A27" s="9">
        <v>8.0</v>
      </c>
      <c r="B27" s="9" t="s">
        <v>640</v>
      </c>
      <c r="C27" s="11" t="s">
        <v>641</v>
      </c>
      <c r="D27" s="10" t="b">
        <v>1</v>
      </c>
      <c r="E27" s="11" t="s">
        <v>642</v>
      </c>
      <c r="F27" s="10" t="b">
        <v>1</v>
      </c>
      <c r="G27" s="9"/>
    </row>
    <row r="28" ht="15.75" customHeight="1">
      <c r="A28" s="9">
        <v>8.0</v>
      </c>
      <c r="B28" s="9" t="s">
        <v>643</v>
      </c>
      <c r="C28" s="9" t="s">
        <v>644</v>
      </c>
      <c r="D28" s="10" t="b">
        <v>1</v>
      </c>
      <c r="E28" s="9" t="s">
        <v>644</v>
      </c>
      <c r="F28" s="10" t="b">
        <v>1</v>
      </c>
      <c r="G28" s="9"/>
    </row>
    <row r="29" ht="15.75" customHeight="1">
      <c r="A29" s="9">
        <v>8.0</v>
      </c>
      <c r="B29" s="9" t="s">
        <v>645</v>
      </c>
      <c r="C29" s="9" t="s">
        <v>646</v>
      </c>
      <c r="D29" s="10" t="b">
        <v>1</v>
      </c>
      <c r="E29" s="9" t="s">
        <v>647</v>
      </c>
      <c r="F29" s="10" t="b">
        <v>1</v>
      </c>
      <c r="G29" s="9"/>
    </row>
    <row r="30" ht="15.75" customHeight="1">
      <c r="A30" s="9">
        <v>8.0</v>
      </c>
      <c r="B30" s="9" t="s">
        <v>648</v>
      </c>
      <c r="C30" s="9" t="s">
        <v>649</v>
      </c>
      <c r="D30" s="10" t="b">
        <v>1</v>
      </c>
      <c r="E30" s="9" t="s">
        <v>650</v>
      </c>
      <c r="F30" s="10" t="b">
        <v>1</v>
      </c>
      <c r="G30" s="9"/>
    </row>
    <row r="31" ht="15.75" customHeight="1">
      <c r="A31" s="9">
        <v>8.0</v>
      </c>
      <c r="B31" s="9" t="s">
        <v>651</v>
      </c>
      <c r="C31" s="9" t="s">
        <v>652</v>
      </c>
      <c r="D31" s="10" t="b">
        <v>1</v>
      </c>
      <c r="E31" s="9" t="s">
        <v>653</v>
      </c>
      <c r="F31" s="10" t="b">
        <v>1</v>
      </c>
      <c r="G31" s="9"/>
    </row>
    <row r="32" ht="15.75" customHeight="1">
      <c r="A32" s="9">
        <v>8.0</v>
      </c>
      <c r="B32" s="9" t="s">
        <v>654</v>
      </c>
      <c r="C32" s="9" t="s">
        <v>655</v>
      </c>
      <c r="D32" s="10" t="b">
        <v>1</v>
      </c>
      <c r="E32" s="9" t="s">
        <v>655</v>
      </c>
      <c r="F32" s="10" t="b">
        <v>1</v>
      </c>
      <c r="G32" s="9"/>
    </row>
    <row r="33" ht="15.75" customHeight="1">
      <c r="A33" s="9">
        <v>8.0</v>
      </c>
      <c r="B33" s="9" t="s">
        <v>656</v>
      </c>
      <c r="C33" s="9" t="s">
        <v>657</v>
      </c>
      <c r="D33" s="10" t="b">
        <v>1</v>
      </c>
      <c r="E33" s="9" t="s">
        <v>657</v>
      </c>
      <c r="F33" s="10" t="b">
        <v>1</v>
      </c>
      <c r="G33" s="9"/>
    </row>
    <row r="34" ht="15.75" customHeight="1">
      <c r="A34" s="9">
        <v>8.0</v>
      </c>
      <c r="B34" s="9" t="s">
        <v>658</v>
      </c>
      <c r="C34" s="9" t="s">
        <v>659</v>
      </c>
      <c r="D34" s="10" t="b">
        <v>1</v>
      </c>
      <c r="E34" s="9" t="s">
        <v>659</v>
      </c>
      <c r="F34" s="10" t="b">
        <v>1</v>
      </c>
      <c r="G34" s="9"/>
    </row>
    <row r="35" ht="15.75" customHeight="1">
      <c r="A35" s="9">
        <v>8.0</v>
      </c>
      <c r="B35" s="9" t="s">
        <v>660</v>
      </c>
      <c r="C35" s="9" t="s">
        <v>661</v>
      </c>
      <c r="D35" s="10" t="b">
        <v>1</v>
      </c>
      <c r="E35" s="9" t="s">
        <v>661</v>
      </c>
      <c r="F35" s="10" t="b">
        <v>1</v>
      </c>
      <c r="G35" s="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A74" s="9"/>
      <c r="B74" s="9"/>
      <c r="C74" s="9"/>
      <c r="D74" s="9"/>
      <c r="E74" s="9"/>
      <c r="F74" s="9"/>
      <c r="G74" s="9"/>
    </row>
    <row r="75" ht="15.75" customHeight="1">
      <c r="A75" s="9"/>
      <c r="B75" s="9"/>
      <c r="C75" s="9"/>
      <c r="D75" s="9"/>
      <c r="E75" s="9"/>
      <c r="F75" s="9"/>
      <c r="G75" s="9"/>
    </row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  <row r="995" ht="15.75" customHeight="1">
      <c r="C995" s="3"/>
      <c r="D995" s="3"/>
      <c r="E995" s="3"/>
      <c r="F995" s="3"/>
      <c r="G995" s="3"/>
    </row>
    <row r="996" ht="15.75" customHeight="1">
      <c r="C996" s="3"/>
      <c r="D996" s="3"/>
      <c r="E996" s="3"/>
      <c r="F996" s="3"/>
      <c r="G996" s="3"/>
    </row>
    <row r="997" ht="15.75" customHeight="1">
      <c r="C997" s="3"/>
      <c r="D997" s="3"/>
      <c r="E997" s="3"/>
      <c r="F997" s="3"/>
      <c r="G997" s="3"/>
    </row>
    <row r="998" ht="15.75" customHeight="1">
      <c r="C998" s="3"/>
      <c r="D998" s="3"/>
      <c r="E998" s="3"/>
      <c r="F998" s="3"/>
      <c r="G998" s="3"/>
    </row>
    <row r="999" ht="15.75" customHeight="1">
      <c r="C999" s="3"/>
      <c r="D999" s="3"/>
      <c r="E999" s="3"/>
      <c r="F999" s="3"/>
      <c r="G999" s="3"/>
    </row>
    <row r="1000" ht="15.75" customHeight="1">
      <c r="C1000" s="3"/>
      <c r="D1000" s="3"/>
      <c r="E1000" s="3"/>
      <c r="F1000" s="3"/>
      <c r="G1000" s="3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9.0</v>
      </c>
      <c r="B2" s="9" t="s">
        <v>662</v>
      </c>
      <c r="C2" s="11" t="s">
        <v>663</v>
      </c>
      <c r="D2" s="10" t="b">
        <v>1</v>
      </c>
      <c r="E2" s="11" t="s">
        <v>664</v>
      </c>
      <c r="F2" s="10" t="b">
        <v>1</v>
      </c>
      <c r="G2" s="9"/>
    </row>
    <row r="3">
      <c r="A3" s="9">
        <v>9.0</v>
      </c>
      <c r="B3" s="9" t="s">
        <v>665</v>
      </c>
      <c r="C3" s="11" t="s">
        <v>666</v>
      </c>
      <c r="D3" s="10" t="b">
        <v>1</v>
      </c>
      <c r="E3" s="11" t="s">
        <v>667</v>
      </c>
      <c r="F3" s="10" t="b">
        <v>1</v>
      </c>
      <c r="G3" s="9"/>
    </row>
    <row r="4">
      <c r="A4" s="9">
        <v>9.0</v>
      </c>
      <c r="B4" s="9" t="s">
        <v>668</v>
      </c>
      <c r="C4" s="11" t="s">
        <v>669</v>
      </c>
      <c r="D4" s="10" t="b">
        <v>1</v>
      </c>
      <c r="E4" s="11" t="s">
        <v>670</v>
      </c>
      <c r="F4" s="10" t="b">
        <v>1</v>
      </c>
      <c r="G4" s="9"/>
    </row>
    <row r="5">
      <c r="A5" s="9">
        <v>9.0</v>
      </c>
      <c r="B5" s="9" t="s">
        <v>671</v>
      </c>
      <c r="C5" s="11" t="s">
        <v>672</v>
      </c>
      <c r="D5" s="10" t="b">
        <v>1</v>
      </c>
      <c r="E5" s="11" t="s">
        <v>672</v>
      </c>
      <c r="F5" s="10" t="b">
        <v>1</v>
      </c>
      <c r="G5" s="9"/>
    </row>
    <row r="6">
      <c r="A6" s="9">
        <v>9.0</v>
      </c>
      <c r="B6" s="9" t="s">
        <v>673</v>
      </c>
      <c r="C6" s="9" t="s">
        <v>674</v>
      </c>
      <c r="D6" s="10" t="b">
        <v>1</v>
      </c>
      <c r="E6" s="9" t="s">
        <v>674</v>
      </c>
      <c r="F6" s="10" t="b">
        <v>1</v>
      </c>
      <c r="G6" s="9"/>
    </row>
    <row r="7">
      <c r="A7" s="9">
        <v>9.0</v>
      </c>
      <c r="B7" s="9" t="s">
        <v>675</v>
      </c>
      <c r="C7" s="9" t="s">
        <v>676</v>
      </c>
      <c r="D7" s="10" t="b">
        <v>1</v>
      </c>
      <c r="E7" s="9" t="s">
        <v>676</v>
      </c>
      <c r="F7" s="10" t="b">
        <v>1</v>
      </c>
      <c r="G7" s="9"/>
    </row>
    <row r="8">
      <c r="A8" s="9">
        <v>9.0</v>
      </c>
      <c r="B8" s="9" t="s">
        <v>677</v>
      </c>
      <c r="C8" s="11" t="s">
        <v>678</v>
      </c>
      <c r="D8" s="10" t="b">
        <v>1</v>
      </c>
      <c r="E8" s="11" t="s">
        <v>679</v>
      </c>
      <c r="F8" s="10" t="b">
        <v>1</v>
      </c>
      <c r="G8" s="9"/>
    </row>
    <row r="9">
      <c r="A9" s="9">
        <v>9.0</v>
      </c>
      <c r="B9" s="9" t="s">
        <v>680</v>
      </c>
      <c r="C9" s="9" t="s">
        <v>681</v>
      </c>
      <c r="D9" s="10" t="b">
        <v>1</v>
      </c>
      <c r="E9" s="9" t="s">
        <v>682</v>
      </c>
      <c r="F9" s="10" t="b">
        <v>1</v>
      </c>
      <c r="G9" s="9"/>
    </row>
    <row r="10">
      <c r="A10" s="9">
        <v>9.0</v>
      </c>
      <c r="B10" s="9" t="s">
        <v>683</v>
      </c>
      <c r="C10" s="10" t="s">
        <v>684</v>
      </c>
      <c r="D10" s="10" t="b">
        <v>1</v>
      </c>
      <c r="E10" s="9" t="s">
        <v>685</v>
      </c>
      <c r="F10" s="10" t="b">
        <v>1</v>
      </c>
      <c r="G10" s="9"/>
    </row>
    <row r="11">
      <c r="A11" s="9">
        <v>9.0</v>
      </c>
      <c r="B11" s="9" t="s">
        <v>686</v>
      </c>
      <c r="C11" s="11" t="s">
        <v>687</v>
      </c>
      <c r="D11" s="10" t="b">
        <v>1</v>
      </c>
      <c r="E11" s="11" t="s">
        <v>688</v>
      </c>
      <c r="F11" s="10" t="b">
        <v>1</v>
      </c>
      <c r="G11" s="9"/>
    </row>
    <row r="12">
      <c r="A12" s="9">
        <v>9.0</v>
      </c>
      <c r="B12" s="9" t="s">
        <v>689</v>
      </c>
      <c r="C12" s="9" t="s">
        <v>690</v>
      </c>
      <c r="D12" s="10" t="b">
        <v>1</v>
      </c>
      <c r="E12" s="9" t="s">
        <v>690</v>
      </c>
      <c r="F12" s="10" t="b">
        <v>1</v>
      </c>
      <c r="G12" s="9"/>
    </row>
    <row r="13">
      <c r="A13" s="9">
        <v>9.0</v>
      </c>
      <c r="B13" s="9" t="s">
        <v>691</v>
      </c>
      <c r="C13" s="11" t="s">
        <v>692</v>
      </c>
      <c r="D13" s="10" t="b">
        <v>1</v>
      </c>
      <c r="E13" s="11" t="s">
        <v>693</v>
      </c>
      <c r="F13" s="10" t="b">
        <v>1</v>
      </c>
      <c r="G13" s="9"/>
    </row>
    <row r="14">
      <c r="A14" s="9">
        <v>9.0</v>
      </c>
      <c r="B14" s="9" t="s">
        <v>694</v>
      </c>
      <c r="C14" s="9" t="s">
        <v>695</v>
      </c>
      <c r="D14" s="10" t="b">
        <v>1</v>
      </c>
      <c r="E14" s="9" t="s">
        <v>696</v>
      </c>
      <c r="F14" s="10" t="b">
        <v>1</v>
      </c>
      <c r="G14" s="9"/>
    </row>
    <row r="15">
      <c r="A15" s="9">
        <v>9.0</v>
      </c>
      <c r="B15" s="9" t="s">
        <v>697</v>
      </c>
      <c r="C15" s="9" t="s">
        <v>698</v>
      </c>
      <c r="D15" s="10" t="b">
        <v>1</v>
      </c>
      <c r="E15" s="9" t="s">
        <v>699</v>
      </c>
      <c r="F15" s="10" t="b">
        <v>1</v>
      </c>
      <c r="G15" s="9"/>
    </row>
    <row r="16">
      <c r="A16" s="9">
        <v>9.0</v>
      </c>
      <c r="B16" s="9" t="s">
        <v>700</v>
      </c>
      <c r="C16" s="9" t="s">
        <v>701</v>
      </c>
      <c r="D16" s="10" t="b">
        <v>1</v>
      </c>
      <c r="E16" s="9" t="s">
        <v>702</v>
      </c>
      <c r="F16" s="10" t="b">
        <v>1</v>
      </c>
      <c r="G16" s="9"/>
    </row>
    <row r="17">
      <c r="A17" s="9">
        <v>9.0</v>
      </c>
      <c r="B17" s="9" t="s">
        <v>703</v>
      </c>
      <c r="C17" s="9" t="s">
        <v>704</v>
      </c>
      <c r="D17" s="10" t="b">
        <v>1</v>
      </c>
      <c r="E17" s="9" t="s">
        <v>705</v>
      </c>
      <c r="F17" s="10" t="b">
        <v>1</v>
      </c>
      <c r="G17" s="9"/>
    </row>
    <row r="18">
      <c r="A18" s="9">
        <v>9.0</v>
      </c>
      <c r="B18" s="9" t="s">
        <v>706</v>
      </c>
      <c r="C18" s="9" t="s">
        <v>707</v>
      </c>
      <c r="D18" s="10" t="b">
        <v>1</v>
      </c>
      <c r="E18" s="9" t="s">
        <v>708</v>
      </c>
      <c r="F18" s="10" t="b">
        <v>1</v>
      </c>
      <c r="G18" s="9"/>
    </row>
    <row r="19">
      <c r="A19" s="9">
        <v>9.0</v>
      </c>
      <c r="B19" s="9" t="s">
        <v>709</v>
      </c>
      <c r="C19" s="9" t="s">
        <v>710</v>
      </c>
      <c r="D19" s="10" t="b">
        <v>1</v>
      </c>
      <c r="E19" s="9" t="s">
        <v>710</v>
      </c>
      <c r="F19" s="10" t="b">
        <v>1</v>
      </c>
      <c r="G19" s="9"/>
    </row>
    <row r="20">
      <c r="A20" s="9">
        <v>9.0</v>
      </c>
      <c r="B20" s="9" t="s">
        <v>711</v>
      </c>
      <c r="C20" s="9" t="s">
        <v>712</v>
      </c>
      <c r="D20" s="10" t="b">
        <v>1</v>
      </c>
      <c r="E20" s="9" t="s">
        <v>712</v>
      </c>
      <c r="F20" s="10" t="b">
        <v>1</v>
      </c>
      <c r="G20" s="9"/>
    </row>
    <row r="21" ht="15.75" customHeight="1">
      <c r="A21" s="9">
        <v>9.0</v>
      </c>
      <c r="B21" s="9" t="s">
        <v>713</v>
      </c>
      <c r="C21" s="9" t="s">
        <v>714</v>
      </c>
      <c r="D21" s="10" t="b">
        <v>1</v>
      </c>
      <c r="E21" s="9" t="s">
        <v>714</v>
      </c>
      <c r="F21" s="10" t="b">
        <v>1</v>
      </c>
      <c r="G21" s="9"/>
    </row>
    <row r="22" ht="15.75" customHeight="1">
      <c r="A22" s="9">
        <v>9.0</v>
      </c>
      <c r="B22" s="9" t="s">
        <v>715</v>
      </c>
      <c r="C22" s="9" t="s">
        <v>716</v>
      </c>
      <c r="D22" s="10" t="b">
        <v>1</v>
      </c>
      <c r="E22" s="9" t="s">
        <v>717</v>
      </c>
      <c r="F22" s="10" t="b">
        <v>1</v>
      </c>
      <c r="G22" s="9"/>
    </row>
    <row r="23" ht="15.75" customHeight="1">
      <c r="A23" s="9">
        <v>9.0</v>
      </c>
      <c r="B23" s="9" t="s">
        <v>718</v>
      </c>
      <c r="C23" s="9" t="s">
        <v>719</v>
      </c>
      <c r="D23" s="10" t="b">
        <v>1</v>
      </c>
      <c r="E23" s="9" t="s">
        <v>720</v>
      </c>
      <c r="F23" s="10" t="b">
        <v>1</v>
      </c>
      <c r="G23" s="9"/>
    </row>
    <row r="24" ht="15.75" customHeight="1">
      <c r="A24" s="9">
        <v>9.0</v>
      </c>
      <c r="B24" s="9" t="s">
        <v>721</v>
      </c>
      <c r="C24" s="9" t="s">
        <v>722</v>
      </c>
      <c r="D24" s="10" t="b">
        <v>1</v>
      </c>
      <c r="E24" s="9" t="s">
        <v>723</v>
      </c>
      <c r="F24" s="10" t="b">
        <v>1</v>
      </c>
      <c r="G24" s="9"/>
    </row>
    <row r="25" ht="15.75" customHeight="1">
      <c r="A25" s="9">
        <v>9.0</v>
      </c>
      <c r="B25" s="9" t="s">
        <v>724</v>
      </c>
      <c r="C25" s="9" t="s">
        <v>725</v>
      </c>
      <c r="D25" s="10" t="b">
        <v>1</v>
      </c>
      <c r="E25" s="11" t="s">
        <v>726</v>
      </c>
      <c r="F25" s="10" t="b">
        <v>1</v>
      </c>
      <c r="G25" s="9"/>
    </row>
    <row r="26" ht="15.75" customHeight="1">
      <c r="A26" s="9">
        <v>9.0</v>
      </c>
      <c r="B26" s="9" t="s">
        <v>727</v>
      </c>
      <c r="C26" s="9" t="s">
        <v>728</v>
      </c>
      <c r="D26" s="10" t="b">
        <v>1</v>
      </c>
      <c r="E26" s="9" t="s">
        <v>728</v>
      </c>
      <c r="F26" s="10" t="b">
        <v>1</v>
      </c>
      <c r="G26" s="9"/>
    </row>
    <row r="27" ht="15.75" customHeight="1">
      <c r="A27" s="9">
        <v>9.0</v>
      </c>
      <c r="B27" s="9" t="s">
        <v>729</v>
      </c>
      <c r="C27" s="9" t="s">
        <v>730</v>
      </c>
      <c r="D27" s="10" t="b">
        <v>1</v>
      </c>
      <c r="E27" s="9" t="s">
        <v>730</v>
      </c>
      <c r="F27" s="10" t="b">
        <v>1</v>
      </c>
      <c r="G27" s="9"/>
    </row>
    <row r="28" ht="15.75" customHeight="1">
      <c r="A28" s="9">
        <v>9.0</v>
      </c>
      <c r="B28" s="9" t="s">
        <v>731</v>
      </c>
      <c r="C28" s="9" t="s">
        <v>732</v>
      </c>
      <c r="D28" s="10" t="b">
        <v>1</v>
      </c>
      <c r="E28" s="9" t="s">
        <v>732</v>
      </c>
      <c r="F28" s="10" t="b">
        <v>1</v>
      </c>
      <c r="G28" s="9"/>
    </row>
    <row r="29" ht="15.75" customHeight="1">
      <c r="A29" s="9">
        <v>9.0</v>
      </c>
      <c r="B29" s="9" t="s">
        <v>733</v>
      </c>
      <c r="C29" s="9" t="s">
        <v>734</v>
      </c>
      <c r="D29" s="10" t="b">
        <v>1</v>
      </c>
      <c r="E29" s="9" t="s">
        <v>735</v>
      </c>
      <c r="F29" s="10" t="b">
        <v>1</v>
      </c>
      <c r="G29" s="9"/>
    </row>
    <row r="30" ht="15.75" customHeight="1">
      <c r="A30" s="9">
        <v>9.0</v>
      </c>
      <c r="B30" s="9" t="s">
        <v>736</v>
      </c>
      <c r="C30" s="9" t="s">
        <v>737</v>
      </c>
      <c r="D30" s="10" t="b">
        <v>1</v>
      </c>
      <c r="E30" s="9" t="s">
        <v>737</v>
      </c>
      <c r="F30" s="10" t="b">
        <v>1</v>
      </c>
      <c r="G30" s="9"/>
    </row>
    <row r="31" ht="15.75" customHeight="1">
      <c r="A31" s="9">
        <v>9.0</v>
      </c>
      <c r="B31" s="9" t="s">
        <v>738</v>
      </c>
      <c r="C31" s="9" t="s">
        <v>739</v>
      </c>
      <c r="D31" s="10" t="b">
        <v>1</v>
      </c>
      <c r="E31" s="9" t="s">
        <v>740</v>
      </c>
      <c r="F31" s="10" t="b">
        <v>1</v>
      </c>
      <c r="G31" s="9"/>
    </row>
    <row r="32" ht="15.75" customHeight="1">
      <c r="A32" s="9">
        <v>9.0</v>
      </c>
      <c r="B32" s="9" t="s">
        <v>741</v>
      </c>
      <c r="C32" s="10" t="s">
        <v>742</v>
      </c>
      <c r="D32" s="10" t="b">
        <v>1</v>
      </c>
      <c r="E32" s="9" t="s">
        <v>743</v>
      </c>
      <c r="F32" s="10" t="b">
        <v>1</v>
      </c>
      <c r="G32" s="9"/>
    </row>
    <row r="33" ht="15.75" customHeight="1">
      <c r="A33" s="9">
        <v>9.0</v>
      </c>
      <c r="B33" s="9" t="s">
        <v>744</v>
      </c>
      <c r="C33" s="9" t="s">
        <v>745</v>
      </c>
      <c r="D33" s="10" t="b">
        <v>1</v>
      </c>
      <c r="E33" s="9" t="s">
        <v>745</v>
      </c>
      <c r="F33" s="10" t="b">
        <v>1</v>
      </c>
      <c r="G33" s="9"/>
    </row>
    <row r="34" ht="15.75" customHeight="1">
      <c r="A34" s="9">
        <v>9.0</v>
      </c>
      <c r="B34" s="9" t="s">
        <v>746</v>
      </c>
      <c r="C34" s="9" t="s">
        <v>747</v>
      </c>
      <c r="D34" s="10" t="b">
        <v>1</v>
      </c>
      <c r="E34" s="9" t="s">
        <v>748</v>
      </c>
      <c r="F34" s="10" t="b">
        <v>1</v>
      </c>
      <c r="G34" s="9"/>
    </row>
    <row r="35" ht="15.75" customHeight="1">
      <c r="A35" s="9">
        <v>9.0</v>
      </c>
      <c r="B35" s="9" t="s">
        <v>749</v>
      </c>
      <c r="C35" s="9" t="s">
        <v>750</v>
      </c>
      <c r="D35" s="10" t="b">
        <v>1</v>
      </c>
      <c r="E35" s="9" t="s">
        <v>750</v>
      </c>
      <c r="F35" s="10" t="b">
        <v>1</v>
      </c>
      <c r="G35" s="9"/>
    </row>
    <row r="36" ht="15.75" customHeight="1">
      <c r="A36" s="9">
        <v>9.0</v>
      </c>
      <c r="B36" s="9" t="s">
        <v>751</v>
      </c>
      <c r="C36" s="9" t="s">
        <v>752</v>
      </c>
      <c r="D36" s="10" t="b">
        <v>1</v>
      </c>
      <c r="E36" s="9" t="s">
        <v>753</v>
      </c>
      <c r="F36" s="10" t="b">
        <v>1</v>
      </c>
      <c r="G36" s="9"/>
    </row>
    <row r="37" ht="15.75" customHeight="1">
      <c r="A37" s="9">
        <v>9.0</v>
      </c>
      <c r="B37" s="9" t="s">
        <v>754</v>
      </c>
      <c r="C37" s="9" t="s">
        <v>755</v>
      </c>
      <c r="D37" s="10" t="b">
        <v>1</v>
      </c>
      <c r="E37" s="9" t="s">
        <v>756</v>
      </c>
      <c r="F37" s="10" t="b">
        <v>1</v>
      </c>
      <c r="G37" s="9"/>
    </row>
    <row r="38" ht="15.75" customHeight="1">
      <c r="A38" s="9">
        <v>9.0</v>
      </c>
      <c r="B38" s="9" t="s">
        <v>757</v>
      </c>
      <c r="C38" s="9" t="s">
        <v>758</v>
      </c>
      <c r="D38" s="10" t="b">
        <v>1</v>
      </c>
      <c r="E38" s="9" t="s">
        <v>759</v>
      </c>
      <c r="F38" s="10" t="b">
        <v>1</v>
      </c>
      <c r="G38" s="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  <row r="995" ht="15.75" customHeight="1">
      <c r="C995" s="3"/>
      <c r="D995" s="3"/>
      <c r="E995" s="3"/>
      <c r="F995" s="3"/>
      <c r="G995" s="3"/>
    </row>
    <row r="996" ht="15.75" customHeight="1">
      <c r="C996" s="3"/>
      <c r="D996" s="3"/>
      <c r="E996" s="3"/>
      <c r="F996" s="3"/>
      <c r="G996" s="3"/>
    </row>
    <row r="997" ht="15.75" customHeight="1">
      <c r="C997" s="3"/>
      <c r="D997" s="3"/>
      <c r="E997" s="3"/>
      <c r="F997" s="3"/>
      <c r="G997" s="3"/>
    </row>
    <row r="998" ht="15.75" customHeight="1">
      <c r="C998" s="3"/>
      <c r="D998" s="3"/>
      <c r="E998" s="3"/>
      <c r="F998" s="3"/>
      <c r="G998" s="3"/>
    </row>
    <row r="999" ht="15.75" customHeight="1">
      <c r="C999" s="3"/>
      <c r="D999" s="3"/>
      <c r="E999" s="3"/>
      <c r="F999" s="3"/>
      <c r="G999" s="3"/>
    </row>
    <row r="1000" ht="15.75" customHeight="1">
      <c r="C1000" s="3"/>
      <c r="D1000" s="3"/>
      <c r="E1000" s="3"/>
      <c r="F1000" s="3"/>
      <c r="G1000" s="3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10.0</v>
      </c>
      <c r="B2" s="9" t="s">
        <v>760</v>
      </c>
      <c r="C2" s="11" t="s">
        <v>761</v>
      </c>
      <c r="D2" s="10" t="b">
        <v>1</v>
      </c>
      <c r="E2" s="11" t="s">
        <v>762</v>
      </c>
      <c r="F2" s="10" t="b">
        <v>1</v>
      </c>
      <c r="G2" s="9"/>
    </row>
    <row r="3">
      <c r="A3" s="9">
        <v>10.0</v>
      </c>
      <c r="B3" s="9" t="s">
        <v>763</v>
      </c>
      <c r="C3" s="9" t="s">
        <v>764</v>
      </c>
      <c r="D3" s="10" t="b">
        <v>1</v>
      </c>
      <c r="E3" s="9" t="s">
        <v>764</v>
      </c>
      <c r="F3" s="10" t="b">
        <v>1</v>
      </c>
      <c r="G3" s="9"/>
    </row>
    <row r="4">
      <c r="A4" s="9">
        <v>10.0</v>
      </c>
      <c r="B4" s="9" t="s">
        <v>765</v>
      </c>
      <c r="C4" s="9" t="s">
        <v>766</v>
      </c>
      <c r="D4" s="10" t="b">
        <v>1</v>
      </c>
      <c r="E4" s="9" t="s">
        <v>767</v>
      </c>
      <c r="F4" s="10" t="b">
        <v>1</v>
      </c>
      <c r="G4" s="9"/>
    </row>
    <row r="5">
      <c r="A5" s="9">
        <v>10.0</v>
      </c>
      <c r="B5" s="9" t="s">
        <v>768</v>
      </c>
      <c r="C5" s="9" t="s">
        <v>769</v>
      </c>
      <c r="D5" s="10" t="b">
        <v>1</v>
      </c>
      <c r="E5" s="11" t="s">
        <v>770</v>
      </c>
      <c r="F5" s="10" t="b">
        <v>1</v>
      </c>
      <c r="G5" s="9"/>
    </row>
    <row r="6">
      <c r="A6" s="9">
        <v>10.0</v>
      </c>
      <c r="B6" s="9" t="s">
        <v>771</v>
      </c>
      <c r="C6" s="9" t="s">
        <v>772</v>
      </c>
      <c r="D6" s="10" t="b">
        <v>1</v>
      </c>
      <c r="E6" s="9" t="s">
        <v>773</v>
      </c>
      <c r="F6" s="10" t="b">
        <v>1</v>
      </c>
      <c r="G6" s="9"/>
    </row>
    <row r="7">
      <c r="A7" s="9">
        <v>10.0</v>
      </c>
      <c r="B7" s="9" t="s">
        <v>774</v>
      </c>
      <c r="C7" s="9" t="s">
        <v>775</v>
      </c>
      <c r="D7" s="10" t="b">
        <v>1</v>
      </c>
      <c r="E7" s="9" t="s">
        <v>775</v>
      </c>
      <c r="F7" s="10" t="b">
        <v>1</v>
      </c>
      <c r="G7" s="9"/>
    </row>
    <row r="8">
      <c r="A8" s="9">
        <v>10.0</v>
      </c>
      <c r="B8" s="9" t="s">
        <v>776</v>
      </c>
      <c r="C8" s="11" t="s">
        <v>777</v>
      </c>
      <c r="D8" s="10" t="b">
        <v>1</v>
      </c>
      <c r="E8" s="9" t="s">
        <v>778</v>
      </c>
      <c r="F8" s="10" t="b">
        <v>1</v>
      </c>
      <c r="G8" s="9"/>
    </row>
    <row r="9">
      <c r="A9" s="9">
        <v>10.0</v>
      </c>
      <c r="B9" s="9" t="s">
        <v>779</v>
      </c>
      <c r="C9" s="9" t="s">
        <v>780</v>
      </c>
      <c r="D9" s="10" t="b">
        <v>1</v>
      </c>
      <c r="E9" s="9" t="s">
        <v>780</v>
      </c>
      <c r="F9" s="10" t="b">
        <v>1</v>
      </c>
      <c r="G9" s="9"/>
    </row>
    <row r="10">
      <c r="A10" s="9">
        <v>10.0</v>
      </c>
      <c r="B10" s="9" t="s">
        <v>781</v>
      </c>
      <c r="C10" s="11" t="s">
        <v>782</v>
      </c>
      <c r="D10" s="10" t="b">
        <v>1</v>
      </c>
      <c r="E10" s="11" t="s">
        <v>783</v>
      </c>
      <c r="F10" s="10" t="b">
        <v>1</v>
      </c>
      <c r="G10" s="9"/>
    </row>
    <row r="11">
      <c r="A11" s="9">
        <v>10.0</v>
      </c>
      <c r="B11" s="9" t="s">
        <v>784</v>
      </c>
      <c r="C11" s="9" t="s">
        <v>785</v>
      </c>
      <c r="D11" s="10" t="b">
        <v>1</v>
      </c>
      <c r="E11" s="9" t="s">
        <v>786</v>
      </c>
      <c r="F11" s="10" t="b">
        <v>1</v>
      </c>
      <c r="G11" s="9"/>
    </row>
    <row r="12">
      <c r="A12" s="9">
        <v>10.0</v>
      </c>
      <c r="B12" s="9" t="s">
        <v>787</v>
      </c>
      <c r="C12" s="9" t="s">
        <v>788</v>
      </c>
      <c r="D12" s="10" t="b">
        <v>1</v>
      </c>
      <c r="E12" s="9" t="s">
        <v>788</v>
      </c>
      <c r="F12" s="10" t="b">
        <v>1</v>
      </c>
      <c r="G12" s="9"/>
    </row>
    <row r="13">
      <c r="A13" s="9">
        <v>10.0</v>
      </c>
      <c r="B13" s="9" t="s">
        <v>789</v>
      </c>
      <c r="C13" s="9" t="s">
        <v>790</v>
      </c>
      <c r="D13" s="10" t="b">
        <v>1</v>
      </c>
      <c r="E13" s="9" t="s">
        <v>791</v>
      </c>
      <c r="F13" s="10" t="b">
        <v>1</v>
      </c>
      <c r="G13" s="9"/>
    </row>
    <row r="14">
      <c r="A14" s="9">
        <v>10.0</v>
      </c>
      <c r="B14" s="9" t="s">
        <v>792</v>
      </c>
      <c r="C14" s="9" t="s">
        <v>793</v>
      </c>
      <c r="D14" s="10" t="b">
        <v>1</v>
      </c>
      <c r="E14" s="9" t="s">
        <v>794</v>
      </c>
      <c r="F14" s="10" t="b">
        <v>1</v>
      </c>
      <c r="G14" s="9"/>
    </row>
    <row r="15">
      <c r="A15" s="9">
        <v>10.0</v>
      </c>
      <c r="B15" s="9" t="s">
        <v>795</v>
      </c>
      <c r="C15" s="9" t="s">
        <v>796</v>
      </c>
      <c r="D15" s="10" t="b">
        <v>1</v>
      </c>
      <c r="E15" s="9" t="s">
        <v>797</v>
      </c>
      <c r="F15" s="10" t="b">
        <v>1</v>
      </c>
      <c r="G15" s="9"/>
    </row>
    <row r="16">
      <c r="A16" s="9">
        <v>10.0</v>
      </c>
      <c r="B16" s="9" t="s">
        <v>798</v>
      </c>
      <c r="C16" s="9" t="s">
        <v>799</v>
      </c>
      <c r="D16" s="10" t="b">
        <v>1</v>
      </c>
      <c r="E16" s="9" t="s">
        <v>800</v>
      </c>
      <c r="F16" s="10" t="b">
        <v>1</v>
      </c>
      <c r="G16" s="9"/>
    </row>
    <row r="17">
      <c r="A17" s="9">
        <v>10.0</v>
      </c>
      <c r="B17" s="9" t="s">
        <v>801</v>
      </c>
      <c r="C17" s="9" t="s">
        <v>802</v>
      </c>
      <c r="D17" s="10" t="b">
        <v>1</v>
      </c>
      <c r="E17" s="9" t="s">
        <v>803</v>
      </c>
      <c r="F17" s="10" t="b">
        <v>1</v>
      </c>
      <c r="G17" s="9"/>
    </row>
    <row r="18">
      <c r="A18" s="9">
        <v>10.0</v>
      </c>
      <c r="B18" s="9" t="s">
        <v>804</v>
      </c>
      <c r="C18" s="9" t="s">
        <v>805</v>
      </c>
      <c r="D18" s="10" t="b">
        <v>1</v>
      </c>
      <c r="E18" s="9" t="s">
        <v>806</v>
      </c>
      <c r="F18" s="10" t="b">
        <v>1</v>
      </c>
      <c r="G18" s="9"/>
    </row>
    <row r="19">
      <c r="A19" s="9">
        <v>10.0</v>
      </c>
      <c r="B19" s="9" t="s">
        <v>807</v>
      </c>
      <c r="C19" s="9" t="s">
        <v>808</v>
      </c>
      <c r="D19" s="10" t="b">
        <v>1</v>
      </c>
      <c r="E19" s="9" t="s">
        <v>809</v>
      </c>
      <c r="F19" s="10" t="b">
        <v>1</v>
      </c>
      <c r="G19" s="9"/>
    </row>
    <row r="20" ht="15.75" customHeight="1">
      <c r="A20" s="9">
        <v>10.0</v>
      </c>
      <c r="B20" s="9" t="s">
        <v>810</v>
      </c>
      <c r="C20" s="11" t="s">
        <v>811</v>
      </c>
      <c r="D20" s="10" t="b">
        <v>1</v>
      </c>
      <c r="E20" s="11" t="s">
        <v>812</v>
      </c>
      <c r="F20" s="10" t="b">
        <v>1</v>
      </c>
      <c r="G20" s="9"/>
    </row>
    <row r="21" ht="15.75" customHeight="1">
      <c r="A21" s="9">
        <v>10.0</v>
      </c>
      <c r="B21" s="9" t="s">
        <v>813</v>
      </c>
      <c r="C21" s="10" t="s">
        <v>814</v>
      </c>
      <c r="D21" s="10" t="b">
        <v>1</v>
      </c>
      <c r="E21" s="10" t="s">
        <v>815</v>
      </c>
      <c r="F21" s="10" t="b">
        <v>1</v>
      </c>
      <c r="G21" s="9"/>
    </row>
    <row r="22" ht="15.75" customHeight="1">
      <c r="A22" s="9">
        <v>10.0</v>
      </c>
      <c r="B22" s="9" t="s">
        <v>816</v>
      </c>
      <c r="C22" s="9" t="s">
        <v>817</v>
      </c>
      <c r="D22" s="10" t="b">
        <v>1</v>
      </c>
      <c r="E22" s="9" t="s">
        <v>817</v>
      </c>
      <c r="F22" s="10" t="b">
        <v>1</v>
      </c>
      <c r="G22" s="9"/>
    </row>
    <row r="23" ht="15.75" customHeight="1">
      <c r="A23" s="9">
        <v>10.0</v>
      </c>
      <c r="B23" s="9" t="s">
        <v>818</v>
      </c>
      <c r="C23" s="11" t="s">
        <v>819</v>
      </c>
      <c r="D23" s="10" t="b">
        <v>1</v>
      </c>
      <c r="E23" s="11" t="s">
        <v>820</v>
      </c>
      <c r="F23" s="10" t="b">
        <v>1</v>
      </c>
      <c r="G23" s="9"/>
    </row>
    <row r="24" ht="15.75" customHeight="1">
      <c r="A24" s="9">
        <v>10.0</v>
      </c>
      <c r="B24" s="9" t="s">
        <v>821</v>
      </c>
      <c r="C24" s="9" t="s">
        <v>822</v>
      </c>
      <c r="D24" s="10" t="b">
        <v>1</v>
      </c>
      <c r="E24" s="9" t="s">
        <v>823</v>
      </c>
      <c r="F24" s="10" t="b">
        <v>1</v>
      </c>
      <c r="G24" s="9"/>
    </row>
    <row r="25" ht="15.75" customHeight="1">
      <c r="A25" s="9">
        <v>10.0</v>
      </c>
      <c r="B25" s="9" t="s">
        <v>824</v>
      </c>
      <c r="C25" s="9" t="s">
        <v>825</v>
      </c>
      <c r="D25" s="10" t="b">
        <v>1</v>
      </c>
      <c r="E25" s="9" t="s">
        <v>825</v>
      </c>
      <c r="F25" s="10" t="b">
        <v>1</v>
      </c>
      <c r="G25" s="9"/>
    </row>
    <row r="26" ht="15.75" customHeight="1">
      <c r="A26" s="9">
        <v>10.0</v>
      </c>
      <c r="B26" s="9" t="s">
        <v>826</v>
      </c>
      <c r="C26" s="9" t="s">
        <v>827</v>
      </c>
      <c r="D26" s="10" t="b">
        <v>1</v>
      </c>
      <c r="E26" s="9" t="s">
        <v>828</v>
      </c>
      <c r="F26" s="10" t="b">
        <v>1</v>
      </c>
      <c r="G26" s="9"/>
    </row>
    <row r="27" ht="15.75" customHeight="1">
      <c r="A27" s="9">
        <v>10.0</v>
      </c>
      <c r="B27" s="9" t="s">
        <v>829</v>
      </c>
      <c r="C27" s="9" t="s">
        <v>830</v>
      </c>
      <c r="D27" s="10" t="b">
        <v>1</v>
      </c>
      <c r="E27" s="9" t="s">
        <v>831</v>
      </c>
      <c r="F27" s="10" t="b">
        <v>1</v>
      </c>
      <c r="G27" s="9"/>
    </row>
    <row r="28" ht="15.75" customHeight="1">
      <c r="A28" s="9">
        <v>10.0</v>
      </c>
      <c r="B28" s="9" t="s">
        <v>832</v>
      </c>
      <c r="C28" s="9" t="s">
        <v>833</v>
      </c>
      <c r="D28" s="10" t="b">
        <v>1</v>
      </c>
      <c r="E28" s="9" t="s">
        <v>833</v>
      </c>
      <c r="F28" s="10" t="b">
        <v>1</v>
      </c>
      <c r="G28" s="9"/>
    </row>
    <row r="29" ht="15.75" customHeight="1">
      <c r="A29" s="9">
        <v>10.0</v>
      </c>
      <c r="B29" s="9" t="s">
        <v>834</v>
      </c>
      <c r="C29" s="9" t="s">
        <v>835</v>
      </c>
      <c r="D29" s="10" t="b">
        <v>1</v>
      </c>
      <c r="E29" s="9" t="s">
        <v>835</v>
      </c>
      <c r="F29" s="10" t="b">
        <v>1</v>
      </c>
      <c r="G29" s="9"/>
    </row>
    <row r="30" ht="15.75" customHeight="1">
      <c r="A30" s="9">
        <v>10.0</v>
      </c>
      <c r="B30" s="9" t="s">
        <v>836</v>
      </c>
      <c r="C30" s="9" t="s">
        <v>837</v>
      </c>
      <c r="D30" s="10" t="b">
        <v>1</v>
      </c>
      <c r="E30" s="9" t="s">
        <v>838</v>
      </c>
      <c r="F30" s="10" t="b">
        <v>1</v>
      </c>
      <c r="G30" s="9"/>
    </row>
    <row r="31" ht="15.75" customHeight="1">
      <c r="A31" s="9">
        <v>10.0</v>
      </c>
      <c r="B31" s="9" t="s">
        <v>839</v>
      </c>
      <c r="C31" s="9" t="s">
        <v>286</v>
      </c>
      <c r="D31" s="10" t="b">
        <v>1</v>
      </c>
      <c r="E31" s="9" t="s">
        <v>286</v>
      </c>
      <c r="F31" s="10" t="b">
        <v>1</v>
      </c>
      <c r="G31" s="9"/>
    </row>
    <row r="32" ht="15.75" customHeight="1">
      <c r="A32" s="9">
        <v>10.0</v>
      </c>
      <c r="B32" s="9" t="s">
        <v>840</v>
      </c>
      <c r="C32" s="9" t="s">
        <v>841</v>
      </c>
      <c r="D32" s="10" t="b">
        <v>1</v>
      </c>
      <c r="E32" s="9" t="s">
        <v>841</v>
      </c>
      <c r="F32" s="10" t="b">
        <v>1</v>
      </c>
      <c r="G32" s="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C74" s="3"/>
      <c r="D74" s="3"/>
      <c r="E74" s="3"/>
      <c r="F74" s="3"/>
      <c r="G74" s="3"/>
    </row>
    <row r="75" ht="15.75" customHeight="1">
      <c r="C75" s="3"/>
      <c r="D75" s="3"/>
      <c r="E75" s="3"/>
      <c r="F75" s="3"/>
      <c r="G75" s="3"/>
    </row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  <row r="995" ht="15.75" customHeight="1">
      <c r="C995" s="3"/>
      <c r="D995" s="3"/>
      <c r="E995" s="3"/>
      <c r="F995" s="3"/>
      <c r="G995" s="3"/>
    </row>
    <row r="996" ht="15.75" customHeight="1">
      <c r="C996" s="3"/>
      <c r="D996" s="3"/>
      <c r="E996" s="3"/>
      <c r="F996" s="3"/>
      <c r="G996" s="3"/>
    </row>
    <row r="997" ht="15.75" customHeight="1">
      <c r="C997" s="3"/>
      <c r="D997" s="3"/>
      <c r="E997" s="3"/>
      <c r="F997" s="3"/>
      <c r="G997" s="3"/>
    </row>
    <row r="998" ht="15.75" customHeight="1">
      <c r="C998" s="3"/>
      <c r="D998" s="3"/>
      <c r="E998" s="3"/>
      <c r="F998" s="3"/>
      <c r="G998" s="3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11.0</v>
      </c>
      <c r="B2" s="9" t="s">
        <v>842</v>
      </c>
      <c r="C2" s="9" t="s">
        <v>843</v>
      </c>
      <c r="D2" s="10" t="b">
        <v>1</v>
      </c>
      <c r="E2" s="9" t="s">
        <v>843</v>
      </c>
      <c r="F2" s="10" t="b">
        <v>1</v>
      </c>
      <c r="G2" s="9"/>
    </row>
    <row r="3">
      <c r="A3" s="9">
        <v>11.0</v>
      </c>
      <c r="B3" s="9" t="s">
        <v>844</v>
      </c>
      <c r="C3" s="9" t="s">
        <v>845</v>
      </c>
      <c r="D3" s="10" t="b">
        <v>1</v>
      </c>
      <c r="E3" s="9" t="s">
        <v>845</v>
      </c>
      <c r="F3" s="10" t="b">
        <v>1</v>
      </c>
      <c r="G3" s="9"/>
    </row>
    <row r="4">
      <c r="A4" s="9">
        <v>11.0</v>
      </c>
      <c r="B4" s="9" t="s">
        <v>846</v>
      </c>
      <c r="C4" s="9" t="s">
        <v>847</v>
      </c>
      <c r="D4" s="10" t="b">
        <v>1</v>
      </c>
      <c r="E4" s="9" t="s">
        <v>847</v>
      </c>
      <c r="F4" s="10" t="b">
        <v>1</v>
      </c>
      <c r="G4" s="9"/>
    </row>
    <row r="5">
      <c r="A5" s="9">
        <v>11.0</v>
      </c>
      <c r="B5" s="9" t="s">
        <v>848</v>
      </c>
      <c r="C5" s="11" t="s">
        <v>849</v>
      </c>
      <c r="D5" s="10" t="b">
        <v>1</v>
      </c>
      <c r="E5" s="11" t="s">
        <v>850</v>
      </c>
      <c r="F5" s="10" t="b">
        <v>1</v>
      </c>
      <c r="G5" s="9"/>
    </row>
    <row r="6">
      <c r="A6" s="9">
        <v>11.0</v>
      </c>
      <c r="B6" s="9" t="s">
        <v>851</v>
      </c>
      <c r="C6" s="9" t="s">
        <v>852</v>
      </c>
      <c r="D6" s="10" t="b">
        <v>1</v>
      </c>
      <c r="E6" s="9" t="s">
        <v>853</v>
      </c>
      <c r="F6" s="10" t="b">
        <v>1</v>
      </c>
      <c r="G6" s="9"/>
    </row>
    <row r="7">
      <c r="A7" s="9">
        <v>11.0</v>
      </c>
      <c r="B7" s="9" t="s">
        <v>854</v>
      </c>
      <c r="C7" s="9" t="s">
        <v>855</v>
      </c>
      <c r="D7" s="10" t="b">
        <v>1</v>
      </c>
      <c r="E7" s="9" t="s">
        <v>855</v>
      </c>
      <c r="F7" s="10" t="b">
        <v>1</v>
      </c>
      <c r="G7" s="9"/>
    </row>
    <row r="8">
      <c r="A8" s="9">
        <v>11.0</v>
      </c>
      <c r="B8" s="9" t="s">
        <v>856</v>
      </c>
      <c r="C8" s="9" t="s">
        <v>857</v>
      </c>
      <c r="D8" s="10" t="b">
        <v>1</v>
      </c>
      <c r="E8" s="9" t="s">
        <v>857</v>
      </c>
      <c r="F8" s="10" t="b">
        <v>1</v>
      </c>
      <c r="G8" s="9"/>
    </row>
    <row r="9">
      <c r="A9" s="9">
        <v>11.0</v>
      </c>
      <c r="B9" s="9" t="s">
        <v>858</v>
      </c>
      <c r="C9" s="9" t="s">
        <v>859</v>
      </c>
      <c r="D9" s="10" t="b">
        <v>1</v>
      </c>
      <c r="E9" s="9" t="s">
        <v>860</v>
      </c>
      <c r="F9" s="10" t="b">
        <v>1</v>
      </c>
      <c r="G9" s="9"/>
    </row>
    <row r="10">
      <c r="A10" s="9">
        <v>11.0</v>
      </c>
      <c r="B10" s="9" t="s">
        <v>861</v>
      </c>
      <c r="C10" s="9" t="s">
        <v>862</v>
      </c>
      <c r="D10" s="10" t="b">
        <v>1</v>
      </c>
      <c r="E10" s="9" t="s">
        <v>863</v>
      </c>
      <c r="F10" s="10" t="b">
        <v>1</v>
      </c>
      <c r="G10" s="9"/>
    </row>
    <row r="11">
      <c r="A11" s="9">
        <v>11.0</v>
      </c>
      <c r="B11" s="9" t="s">
        <v>864</v>
      </c>
      <c r="C11" s="9" t="s">
        <v>865</v>
      </c>
      <c r="D11" s="10" t="b">
        <v>1</v>
      </c>
      <c r="E11" s="9" t="s">
        <v>866</v>
      </c>
      <c r="F11" s="10" t="b">
        <v>1</v>
      </c>
      <c r="G11" s="9"/>
    </row>
    <row r="12">
      <c r="A12" s="9">
        <v>11.0</v>
      </c>
      <c r="B12" s="9" t="s">
        <v>867</v>
      </c>
      <c r="C12" s="11" t="s">
        <v>868</v>
      </c>
      <c r="D12" s="10" t="b">
        <v>1</v>
      </c>
      <c r="E12" s="11" t="s">
        <v>868</v>
      </c>
      <c r="F12" s="11" t="b">
        <v>1</v>
      </c>
      <c r="G12" s="9"/>
    </row>
    <row r="13">
      <c r="A13" s="9">
        <v>11.0</v>
      </c>
      <c r="B13" s="9" t="s">
        <v>869</v>
      </c>
      <c r="C13" s="9" t="s">
        <v>870</v>
      </c>
      <c r="D13" s="10" t="b">
        <v>1</v>
      </c>
      <c r="E13" s="10" t="s">
        <v>871</v>
      </c>
      <c r="F13" s="9"/>
      <c r="G13" s="9"/>
    </row>
    <row r="14">
      <c r="A14" s="9">
        <v>11.0</v>
      </c>
      <c r="B14" s="9" t="s">
        <v>872</v>
      </c>
      <c r="C14" s="9" t="s">
        <v>873</v>
      </c>
      <c r="D14" s="10" t="b">
        <v>1</v>
      </c>
      <c r="E14" s="9" t="s">
        <v>874</v>
      </c>
      <c r="F14" s="10" t="b">
        <v>1</v>
      </c>
      <c r="G14" s="9"/>
    </row>
    <row r="15">
      <c r="A15" s="9">
        <v>11.0</v>
      </c>
      <c r="B15" s="9" t="s">
        <v>875</v>
      </c>
      <c r="C15" s="9" t="s">
        <v>876</v>
      </c>
      <c r="D15" s="10" t="b">
        <v>1</v>
      </c>
      <c r="E15" s="9" t="s">
        <v>877</v>
      </c>
      <c r="F15" s="10" t="b">
        <v>1</v>
      </c>
      <c r="G15" s="9"/>
    </row>
    <row r="16">
      <c r="A16" s="9">
        <v>11.0</v>
      </c>
      <c r="B16" s="9" t="s">
        <v>878</v>
      </c>
      <c r="C16" s="9" t="s">
        <v>879</v>
      </c>
      <c r="D16" s="10" t="b">
        <v>1</v>
      </c>
      <c r="E16" s="9" t="s">
        <v>880</v>
      </c>
      <c r="F16" s="10" t="b">
        <v>1</v>
      </c>
      <c r="G16" s="9"/>
    </row>
    <row r="17">
      <c r="A17" s="9">
        <v>11.0</v>
      </c>
      <c r="B17" s="9" t="s">
        <v>881</v>
      </c>
      <c r="C17" s="9" t="s">
        <v>882</v>
      </c>
      <c r="D17" s="10" t="b">
        <v>1</v>
      </c>
      <c r="E17" s="9" t="s">
        <v>883</v>
      </c>
      <c r="F17" s="10" t="b">
        <v>1</v>
      </c>
      <c r="G17" s="9"/>
    </row>
    <row r="18">
      <c r="A18" s="9">
        <v>11.0</v>
      </c>
      <c r="B18" s="9" t="s">
        <v>884</v>
      </c>
      <c r="C18" s="11" t="s">
        <v>885</v>
      </c>
      <c r="D18" s="10" t="b">
        <v>1</v>
      </c>
      <c r="E18" s="11" t="s">
        <v>886</v>
      </c>
      <c r="F18" s="10" t="b">
        <v>1</v>
      </c>
      <c r="G18" s="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A38" s="9"/>
      <c r="B38" s="9"/>
      <c r="C38" s="9"/>
      <c r="D38" s="9"/>
      <c r="E38" s="9"/>
      <c r="F38" s="9"/>
      <c r="G38" s="9"/>
    </row>
    <row r="39" ht="15.75" customHeight="1">
      <c r="A39" s="9"/>
      <c r="B39" s="9"/>
      <c r="C39" s="9"/>
      <c r="D39" s="9"/>
      <c r="E39" s="9"/>
      <c r="F39" s="9"/>
      <c r="G39" s="9"/>
    </row>
    <row r="40" ht="15.75" customHeight="1">
      <c r="A40" s="9"/>
      <c r="B40" s="9"/>
      <c r="C40" s="9"/>
      <c r="D40" s="9"/>
      <c r="E40" s="9"/>
      <c r="F40" s="9"/>
      <c r="G40" s="9"/>
    </row>
    <row r="41" ht="15.75" customHeight="1">
      <c r="A41" s="9"/>
      <c r="B41" s="9"/>
      <c r="C41" s="9"/>
      <c r="D41" s="9"/>
      <c r="E41" s="9"/>
      <c r="F41" s="9"/>
      <c r="G41" s="9"/>
    </row>
    <row r="42" ht="15.75" customHeight="1">
      <c r="A42" s="9"/>
      <c r="B42" s="9"/>
      <c r="C42" s="9"/>
      <c r="D42" s="9"/>
      <c r="E42" s="9"/>
      <c r="F42" s="9"/>
      <c r="G42" s="9"/>
    </row>
    <row r="43" ht="15.75" customHeight="1">
      <c r="A43" s="9"/>
      <c r="B43" s="9"/>
      <c r="C43" s="9"/>
      <c r="D43" s="9"/>
      <c r="E43" s="9"/>
      <c r="F43" s="9"/>
      <c r="G43" s="9"/>
    </row>
    <row r="44" ht="15.75" customHeight="1">
      <c r="A44" s="9"/>
      <c r="B44" s="9"/>
      <c r="C44" s="9"/>
      <c r="D44" s="9"/>
      <c r="E44" s="9"/>
      <c r="F44" s="9"/>
      <c r="G44" s="9"/>
    </row>
    <row r="45" ht="15.75" customHeight="1">
      <c r="A45" s="9"/>
      <c r="B45" s="9"/>
      <c r="C45" s="9"/>
      <c r="D45" s="9"/>
      <c r="E45" s="9"/>
      <c r="F45" s="9"/>
      <c r="G45" s="9"/>
    </row>
    <row r="46" ht="15.75" customHeight="1">
      <c r="A46" s="9"/>
      <c r="B46" s="9"/>
      <c r="C46" s="9"/>
      <c r="D46" s="9"/>
      <c r="E46" s="9"/>
      <c r="F46" s="9"/>
      <c r="G46" s="9"/>
    </row>
    <row r="47" ht="15.75" customHeight="1">
      <c r="A47" s="9"/>
      <c r="B47" s="9"/>
      <c r="C47" s="9"/>
      <c r="D47" s="9"/>
      <c r="E47" s="9"/>
      <c r="F47" s="9"/>
      <c r="G47" s="9"/>
    </row>
    <row r="48" ht="15.75" customHeight="1">
      <c r="A48" s="9"/>
      <c r="B48" s="9"/>
      <c r="C48" s="9"/>
      <c r="D48" s="9"/>
      <c r="E48" s="9"/>
      <c r="F48" s="9"/>
      <c r="G48" s="9"/>
    </row>
    <row r="49" ht="15.75" customHeight="1">
      <c r="A49" s="9"/>
      <c r="B49" s="9"/>
      <c r="C49" s="9"/>
      <c r="D49" s="9"/>
      <c r="E49" s="9"/>
      <c r="F49" s="9"/>
      <c r="G49" s="9"/>
    </row>
    <row r="50" ht="15.75" customHeight="1">
      <c r="A50" s="9"/>
      <c r="B50" s="9"/>
      <c r="C50" s="9"/>
      <c r="D50" s="9"/>
      <c r="E50" s="9"/>
      <c r="F50" s="9"/>
      <c r="G50" s="9"/>
    </row>
    <row r="51" ht="15.75" customHeight="1">
      <c r="A51" s="9"/>
      <c r="B51" s="9"/>
      <c r="C51" s="9"/>
      <c r="D51" s="9"/>
      <c r="E51" s="9"/>
      <c r="F51" s="9"/>
      <c r="G51" s="9"/>
    </row>
    <row r="52" ht="15.75" customHeight="1">
      <c r="A52" s="9"/>
      <c r="B52" s="9"/>
      <c r="C52" s="9"/>
      <c r="D52" s="9"/>
      <c r="E52" s="9"/>
      <c r="F52" s="9"/>
      <c r="G52" s="9"/>
    </row>
    <row r="53" ht="15.75" customHeight="1">
      <c r="A53" s="9"/>
      <c r="B53" s="9"/>
      <c r="C53" s="9"/>
      <c r="D53" s="9"/>
      <c r="E53" s="9"/>
      <c r="F53" s="9"/>
      <c r="G53" s="9"/>
    </row>
    <row r="54" ht="15.75" customHeight="1">
      <c r="A54" s="9"/>
      <c r="B54" s="9"/>
      <c r="C54" s="9"/>
      <c r="D54" s="9"/>
      <c r="E54" s="9"/>
      <c r="F54" s="9"/>
      <c r="G54" s="9"/>
    </row>
    <row r="55" ht="15.75" customHeight="1">
      <c r="A55" s="9"/>
      <c r="B55" s="9"/>
      <c r="C55" s="9"/>
      <c r="D55" s="9"/>
      <c r="E55" s="9"/>
      <c r="F55" s="9"/>
      <c r="G55" s="9"/>
    </row>
    <row r="56" ht="15.75" customHeight="1">
      <c r="A56" s="9"/>
      <c r="B56" s="9"/>
      <c r="C56" s="9"/>
      <c r="D56" s="9"/>
      <c r="E56" s="9"/>
      <c r="F56" s="9"/>
      <c r="G56" s="9"/>
    </row>
    <row r="57" ht="15.75" customHeight="1">
      <c r="A57" s="9"/>
      <c r="B57" s="9"/>
      <c r="C57" s="9"/>
      <c r="D57" s="9"/>
      <c r="E57" s="9"/>
      <c r="F57" s="9"/>
      <c r="G57" s="9"/>
    </row>
    <row r="58" ht="15.75" customHeight="1">
      <c r="A58" s="9"/>
      <c r="B58" s="9"/>
      <c r="C58" s="9"/>
      <c r="D58" s="9"/>
      <c r="E58" s="9"/>
      <c r="F58" s="9"/>
      <c r="G58" s="9"/>
    </row>
    <row r="59" ht="15.75" customHeight="1">
      <c r="A59" s="9"/>
      <c r="B59" s="9"/>
      <c r="C59" s="9"/>
      <c r="D59" s="9"/>
      <c r="E59" s="9"/>
      <c r="F59" s="9"/>
      <c r="G59" s="9"/>
    </row>
    <row r="60" ht="15.75" customHeight="1">
      <c r="A60" s="9"/>
      <c r="B60" s="9"/>
      <c r="C60" s="9"/>
      <c r="D60" s="9"/>
      <c r="E60" s="9"/>
      <c r="F60" s="9"/>
      <c r="G60" s="9"/>
    </row>
    <row r="61" ht="15.75" customHeight="1">
      <c r="A61" s="9"/>
      <c r="B61" s="9"/>
      <c r="C61" s="9"/>
      <c r="D61" s="9"/>
      <c r="E61" s="9"/>
      <c r="F61" s="9"/>
      <c r="G61" s="9"/>
    </row>
    <row r="62" ht="15.75" customHeight="1">
      <c r="A62" s="9"/>
      <c r="B62" s="9"/>
      <c r="C62" s="9"/>
      <c r="D62" s="9"/>
      <c r="E62" s="9"/>
      <c r="F62" s="9"/>
      <c r="G62" s="9"/>
    </row>
    <row r="63" ht="15.75" customHeight="1">
      <c r="A63" s="9"/>
      <c r="B63" s="9"/>
      <c r="C63" s="9"/>
      <c r="D63" s="9"/>
      <c r="E63" s="9"/>
      <c r="F63" s="9"/>
      <c r="G63" s="9"/>
    </row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C74" s="3"/>
      <c r="D74" s="3"/>
      <c r="E74" s="3"/>
      <c r="F74" s="3"/>
      <c r="G74" s="3"/>
    </row>
    <row r="75" ht="15.75" customHeight="1">
      <c r="C75" s="3"/>
      <c r="D75" s="3"/>
      <c r="E75" s="3"/>
      <c r="F75" s="3"/>
      <c r="G75" s="3"/>
    </row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  <row r="995" ht="15.75" customHeight="1">
      <c r="C995" s="3"/>
      <c r="D995" s="3"/>
      <c r="E995" s="3"/>
      <c r="F995" s="3"/>
      <c r="G995" s="3"/>
    </row>
    <row r="996" ht="15.75" customHeight="1">
      <c r="C996" s="3"/>
      <c r="D996" s="3"/>
      <c r="E996" s="3"/>
      <c r="F996" s="3"/>
      <c r="G996" s="3"/>
    </row>
    <row r="997" ht="15.75" customHeight="1">
      <c r="C997" s="3"/>
      <c r="D997" s="3"/>
      <c r="E997" s="3"/>
      <c r="F997" s="3"/>
      <c r="G997" s="3"/>
    </row>
    <row r="998" ht="15.75" customHeight="1">
      <c r="C998" s="3"/>
      <c r="D998" s="3"/>
      <c r="E998" s="3"/>
      <c r="F998" s="3"/>
      <c r="G998" s="3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12.0</v>
      </c>
      <c r="B2" s="9" t="s">
        <v>887</v>
      </c>
      <c r="C2" s="9" t="s">
        <v>888</v>
      </c>
      <c r="D2" s="10" t="b">
        <v>1</v>
      </c>
      <c r="E2" s="9" t="s">
        <v>888</v>
      </c>
      <c r="F2" s="10" t="b">
        <v>1</v>
      </c>
      <c r="G2" s="9"/>
    </row>
    <row r="3">
      <c r="A3" s="9">
        <v>12.0</v>
      </c>
      <c r="B3" s="9" t="s">
        <v>889</v>
      </c>
      <c r="C3" s="9" t="s">
        <v>890</v>
      </c>
      <c r="D3" s="10" t="b">
        <v>1</v>
      </c>
      <c r="E3" s="9" t="s">
        <v>891</v>
      </c>
      <c r="F3" s="10" t="b">
        <v>1</v>
      </c>
      <c r="G3" s="9"/>
    </row>
    <row r="4">
      <c r="A4" s="9">
        <v>12.0</v>
      </c>
      <c r="B4" s="9" t="s">
        <v>892</v>
      </c>
      <c r="C4" s="9" t="s">
        <v>893</v>
      </c>
      <c r="D4" s="10" t="b">
        <v>1</v>
      </c>
      <c r="E4" s="9" t="s">
        <v>893</v>
      </c>
      <c r="F4" s="10" t="b">
        <v>1</v>
      </c>
      <c r="G4" s="9"/>
    </row>
    <row r="5">
      <c r="A5" s="9">
        <v>12.0</v>
      </c>
      <c r="B5" s="9" t="s">
        <v>894</v>
      </c>
      <c r="C5" s="9" t="s">
        <v>895</v>
      </c>
      <c r="D5" s="10" t="b">
        <v>1</v>
      </c>
      <c r="E5" s="9" t="s">
        <v>896</v>
      </c>
      <c r="F5" s="10" t="b">
        <v>1</v>
      </c>
      <c r="G5" s="9"/>
    </row>
    <row r="6">
      <c r="A6" s="9">
        <v>12.0</v>
      </c>
      <c r="B6" s="9" t="s">
        <v>897</v>
      </c>
      <c r="C6" s="9" t="s">
        <v>898</v>
      </c>
      <c r="D6" s="10" t="b">
        <v>1</v>
      </c>
      <c r="E6" s="9" t="s">
        <v>898</v>
      </c>
      <c r="F6" s="10" t="b">
        <v>1</v>
      </c>
      <c r="G6" s="9"/>
    </row>
    <row r="7">
      <c r="A7" s="9">
        <v>12.0</v>
      </c>
      <c r="B7" s="9" t="s">
        <v>899</v>
      </c>
      <c r="C7" s="9" t="s">
        <v>900</v>
      </c>
      <c r="D7" s="10" t="b">
        <v>1</v>
      </c>
      <c r="E7" s="9" t="s">
        <v>900</v>
      </c>
      <c r="F7" s="10" t="b">
        <v>1</v>
      </c>
      <c r="G7" s="9"/>
    </row>
    <row r="8">
      <c r="A8" s="9">
        <v>12.0</v>
      </c>
      <c r="B8" s="9" t="s">
        <v>901</v>
      </c>
      <c r="C8" s="9" t="s">
        <v>902</v>
      </c>
      <c r="D8" s="10" t="b">
        <v>1</v>
      </c>
      <c r="E8" s="9" t="s">
        <v>902</v>
      </c>
      <c r="F8" s="10" t="b">
        <v>1</v>
      </c>
      <c r="G8" s="9"/>
    </row>
    <row r="9">
      <c r="A9" s="9">
        <v>12.0</v>
      </c>
      <c r="B9" s="9" t="s">
        <v>903</v>
      </c>
      <c r="C9" s="11" t="s">
        <v>904</v>
      </c>
      <c r="D9" s="10" t="b">
        <v>1</v>
      </c>
      <c r="E9" s="11" t="s">
        <v>905</v>
      </c>
      <c r="F9" s="10" t="b">
        <v>1</v>
      </c>
      <c r="G9" s="9"/>
    </row>
    <row r="10">
      <c r="A10" s="9">
        <v>12.0</v>
      </c>
      <c r="B10" s="9" t="s">
        <v>906</v>
      </c>
      <c r="C10" s="9" t="s">
        <v>907</v>
      </c>
      <c r="D10" s="10" t="b">
        <v>1</v>
      </c>
      <c r="E10" s="9" t="s">
        <v>908</v>
      </c>
      <c r="F10" s="10" t="b">
        <v>1</v>
      </c>
      <c r="G10" s="9"/>
    </row>
    <row r="11">
      <c r="A11" s="9">
        <v>12.0</v>
      </c>
      <c r="B11" s="9" t="s">
        <v>909</v>
      </c>
      <c r="C11" s="11" t="s">
        <v>910</v>
      </c>
      <c r="D11" s="10" t="b">
        <v>1</v>
      </c>
      <c r="E11" s="11" t="s">
        <v>911</v>
      </c>
      <c r="F11" s="10" t="b">
        <v>1</v>
      </c>
      <c r="G11" s="9"/>
    </row>
    <row r="12">
      <c r="A12" s="9">
        <v>12.0</v>
      </c>
      <c r="B12" s="9" t="s">
        <v>912</v>
      </c>
      <c r="C12" s="9" t="s">
        <v>913</v>
      </c>
      <c r="D12" s="10" t="b">
        <v>1</v>
      </c>
      <c r="E12" s="9" t="s">
        <v>913</v>
      </c>
      <c r="F12" s="10" t="b">
        <v>1</v>
      </c>
      <c r="G12" s="9"/>
    </row>
    <row r="13">
      <c r="A13" s="9">
        <v>12.0</v>
      </c>
      <c r="B13" s="9" t="s">
        <v>914</v>
      </c>
      <c r="C13" s="9" t="s">
        <v>915</v>
      </c>
      <c r="D13" s="10" t="b">
        <v>1</v>
      </c>
      <c r="E13" s="9" t="s">
        <v>916</v>
      </c>
      <c r="F13" s="10" t="b">
        <v>1</v>
      </c>
      <c r="G13" s="9"/>
    </row>
    <row r="14">
      <c r="A14" s="9">
        <v>12.0</v>
      </c>
      <c r="B14" s="9" t="s">
        <v>917</v>
      </c>
      <c r="C14" s="9" t="s">
        <v>918</v>
      </c>
      <c r="D14" s="9"/>
      <c r="E14" s="9" t="s">
        <v>918</v>
      </c>
      <c r="F14" s="9"/>
      <c r="G14" s="9"/>
    </row>
    <row r="15">
      <c r="A15" s="9">
        <v>12.0</v>
      </c>
      <c r="B15" s="9" t="s">
        <v>919</v>
      </c>
      <c r="C15" s="9" t="s">
        <v>920</v>
      </c>
      <c r="D15" s="10" t="b">
        <v>1</v>
      </c>
      <c r="E15" s="9" t="s">
        <v>920</v>
      </c>
      <c r="F15" s="10" t="b">
        <v>1</v>
      </c>
      <c r="G15" s="9"/>
    </row>
    <row r="16">
      <c r="A16" s="9">
        <v>12.0</v>
      </c>
      <c r="B16" s="9" t="s">
        <v>921</v>
      </c>
      <c r="C16" s="9" t="s">
        <v>922</v>
      </c>
      <c r="D16" s="10" t="b">
        <v>1</v>
      </c>
      <c r="E16" s="9" t="s">
        <v>923</v>
      </c>
      <c r="F16" s="10" t="b">
        <v>1</v>
      </c>
      <c r="G16" s="9"/>
    </row>
    <row r="17">
      <c r="A17" s="9">
        <v>12.0</v>
      </c>
      <c r="B17" s="9" t="s">
        <v>924</v>
      </c>
      <c r="C17" s="9" t="s">
        <v>925</v>
      </c>
      <c r="D17" s="10" t="b">
        <v>1</v>
      </c>
      <c r="E17" s="9" t="s">
        <v>926</v>
      </c>
      <c r="F17" s="10" t="b">
        <v>1</v>
      </c>
      <c r="G17" s="9"/>
    </row>
    <row r="18">
      <c r="A18" s="9">
        <v>12.0</v>
      </c>
      <c r="B18" s="9" t="s">
        <v>927</v>
      </c>
      <c r="C18" s="9" t="s">
        <v>928</v>
      </c>
      <c r="D18" s="10" t="b">
        <v>1</v>
      </c>
      <c r="E18" s="9" t="s">
        <v>928</v>
      </c>
      <c r="F18" s="10" t="b">
        <v>1</v>
      </c>
      <c r="G18" s="9"/>
    </row>
    <row r="19" ht="15.75" customHeight="1">
      <c r="A19" s="9">
        <v>12.0</v>
      </c>
      <c r="B19" s="9" t="s">
        <v>929</v>
      </c>
      <c r="C19" s="9" t="s">
        <v>930</v>
      </c>
      <c r="D19" s="10" t="b">
        <v>1</v>
      </c>
      <c r="E19" s="9" t="s">
        <v>931</v>
      </c>
      <c r="F19" s="10" t="b">
        <v>1</v>
      </c>
      <c r="G19" s="9"/>
    </row>
    <row r="20" ht="15.75" customHeight="1">
      <c r="A20" s="9">
        <v>12.0</v>
      </c>
      <c r="B20" s="9" t="s">
        <v>932</v>
      </c>
      <c r="C20" s="9" t="s">
        <v>933</v>
      </c>
      <c r="D20" s="10" t="b">
        <v>1</v>
      </c>
      <c r="E20" s="9" t="s">
        <v>933</v>
      </c>
      <c r="F20" s="10" t="b">
        <v>1</v>
      </c>
      <c r="G20" s="9"/>
    </row>
    <row r="21" ht="15.75" customHeight="1">
      <c r="A21" s="9">
        <v>12.0</v>
      </c>
      <c r="B21" s="9" t="s">
        <v>934</v>
      </c>
      <c r="C21" s="9" t="s">
        <v>935</v>
      </c>
      <c r="D21" s="10" t="b">
        <v>1</v>
      </c>
      <c r="E21" s="9" t="s">
        <v>935</v>
      </c>
      <c r="F21" s="10" t="b">
        <v>1</v>
      </c>
      <c r="G21" s="9"/>
    </row>
    <row r="22" ht="15.75" customHeight="1">
      <c r="A22" s="9">
        <v>12.0</v>
      </c>
      <c r="B22" s="9" t="s">
        <v>936</v>
      </c>
      <c r="C22" s="9" t="s">
        <v>937</v>
      </c>
      <c r="D22" s="10" t="b">
        <v>1</v>
      </c>
      <c r="E22" s="9" t="s">
        <v>938</v>
      </c>
      <c r="F22" s="10" t="b">
        <v>1</v>
      </c>
      <c r="G22" s="9"/>
    </row>
    <row r="23" ht="15.75" customHeight="1">
      <c r="A23" s="9">
        <v>12.0</v>
      </c>
      <c r="B23" s="9" t="s">
        <v>939</v>
      </c>
      <c r="C23" s="9" t="s">
        <v>940</v>
      </c>
      <c r="D23" s="10" t="b">
        <v>1</v>
      </c>
      <c r="E23" s="9" t="s">
        <v>941</v>
      </c>
      <c r="F23" s="10" t="b">
        <v>1</v>
      </c>
      <c r="G23" s="9"/>
    </row>
    <row r="24" ht="15.75" customHeight="1">
      <c r="A24" s="9">
        <v>12.0</v>
      </c>
      <c r="B24" s="9" t="s">
        <v>942</v>
      </c>
      <c r="C24" s="9" t="s">
        <v>943</v>
      </c>
      <c r="D24" s="10" t="b">
        <v>1</v>
      </c>
      <c r="E24" s="9" t="s">
        <v>943</v>
      </c>
      <c r="F24" s="10" t="b">
        <v>1</v>
      </c>
      <c r="G24" s="9"/>
    </row>
    <row r="25" ht="15.75" customHeight="1">
      <c r="A25" s="9">
        <v>12.0</v>
      </c>
      <c r="B25" s="9" t="s">
        <v>944</v>
      </c>
      <c r="C25" s="9" t="s">
        <v>945</v>
      </c>
      <c r="D25" s="10" t="b">
        <v>1</v>
      </c>
      <c r="E25" s="9" t="s">
        <v>946</v>
      </c>
      <c r="F25" s="10" t="b">
        <v>1</v>
      </c>
      <c r="G25" s="9"/>
    </row>
    <row r="26" ht="15.75" customHeight="1">
      <c r="A26" s="9">
        <v>12.0</v>
      </c>
      <c r="B26" s="9" t="s">
        <v>947</v>
      </c>
      <c r="C26" s="9" t="s">
        <v>948</v>
      </c>
      <c r="D26" s="10" t="b">
        <v>1</v>
      </c>
      <c r="E26" s="9" t="s">
        <v>948</v>
      </c>
      <c r="F26" s="10" t="b">
        <v>1</v>
      </c>
      <c r="G26" s="9"/>
    </row>
    <row r="27" ht="15.75" customHeight="1">
      <c r="A27" s="9">
        <v>12.0</v>
      </c>
      <c r="B27" s="9" t="s">
        <v>949</v>
      </c>
      <c r="C27" s="9" t="s">
        <v>950</v>
      </c>
      <c r="D27" s="10" t="b">
        <v>1</v>
      </c>
      <c r="E27" s="9" t="s">
        <v>950</v>
      </c>
      <c r="F27" s="10" t="b">
        <v>1</v>
      </c>
      <c r="G27" s="9"/>
    </row>
    <row r="28" ht="15.75" customHeight="1">
      <c r="A28" s="9">
        <v>12.0</v>
      </c>
      <c r="B28" s="9" t="s">
        <v>951</v>
      </c>
      <c r="C28" s="9" t="s">
        <v>841</v>
      </c>
      <c r="D28" s="10" t="b">
        <v>1</v>
      </c>
      <c r="E28" s="9" t="s">
        <v>841</v>
      </c>
      <c r="F28" s="10" t="b">
        <v>1</v>
      </c>
      <c r="G28" s="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A60" s="9"/>
      <c r="B60" s="9"/>
      <c r="C60" s="9"/>
      <c r="D60" s="9"/>
      <c r="E60" s="9"/>
      <c r="F60" s="9"/>
      <c r="G60" s="9"/>
    </row>
    <row r="61" ht="15.75" customHeight="1">
      <c r="A61" s="9"/>
      <c r="B61" s="9"/>
      <c r="C61" s="9"/>
      <c r="D61" s="9"/>
      <c r="E61" s="9"/>
      <c r="F61" s="9"/>
      <c r="G61" s="9"/>
    </row>
    <row r="62" ht="15.75" customHeight="1">
      <c r="A62" s="9"/>
      <c r="B62" s="9"/>
      <c r="C62" s="9"/>
      <c r="D62" s="9"/>
      <c r="E62" s="9"/>
      <c r="F62" s="9"/>
      <c r="G62" s="9"/>
    </row>
    <row r="63" ht="15.75" customHeight="1">
      <c r="A63" s="9"/>
      <c r="B63" s="9"/>
      <c r="C63" s="9"/>
      <c r="D63" s="9"/>
      <c r="E63" s="9"/>
      <c r="F63" s="9"/>
      <c r="G63" s="9"/>
    </row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C72" s="3"/>
      <c r="D72" s="3"/>
      <c r="E72" s="3"/>
      <c r="F72" s="3"/>
      <c r="G72" s="3"/>
    </row>
    <row r="73" ht="15.75" customHeight="1">
      <c r="C73" s="3"/>
      <c r="D73" s="3"/>
      <c r="E73" s="3"/>
      <c r="F73" s="3"/>
      <c r="G73" s="3"/>
    </row>
    <row r="74" ht="15.75" customHeight="1">
      <c r="C74" s="3"/>
      <c r="D74" s="3"/>
      <c r="E74" s="3"/>
      <c r="F74" s="3"/>
      <c r="G74" s="3"/>
    </row>
    <row r="75" ht="15.75" customHeight="1">
      <c r="C75" s="3"/>
      <c r="D75" s="3"/>
      <c r="E75" s="3"/>
      <c r="F75" s="3"/>
      <c r="G75" s="3"/>
    </row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  <row r="995" ht="15.75" customHeight="1">
      <c r="C995" s="3"/>
      <c r="D995" s="3"/>
      <c r="E995" s="3"/>
      <c r="F995" s="3"/>
      <c r="G995" s="3"/>
    </row>
    <row r="996" ht="15.75" customHeight="1">
      <c r="C996" s="3"/>
      <c r="D996" s="3"/>
      <c r="E996" s="3"/>
      <c r="F996" s="3"/>
      <c r="G996" s="3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13.0</v>
      </c>
      <c r="B2" s="9" t="s">
        <v>952</v>
      </c>
      <c r="C2" s="9" t="s">
        <v>953</v>
      </c>
      <c r="D2" s="10" t="b">
        <v>1</v>
      </c>
      <c r="E2" s="9" t="s">
        <v>954</v>
      </c>
      <c r="F2" s="10" t="b">
        <v>1</v>
      </c>
      <c r="G2" s="9"/>
    </row>
    <row r="3">
      <c r="A3" s="9">
        <v>13.0</v>
      </c>
      <c r="B3" s="9" t="s">
        <v>955</v>
      </c>
      <c r="C3" s="9" t="s">
        <v>956</v>
      </c>
      <c r="D3" s="10" t="b">
        <v>1</v>
      </c>
      <c r="E3" s="9" t="s">
        <v>957</v>
      </c>
      <c r="F3" s="10" t="b">
        <v>1</v>
      </c>
      <c r="G3" s="9"/>
    </row>
    <row r="4">
      <c r="A4" s="9">
        <v>13.0</v>
      </c>
      <c r="B4" s="9" t="s">
        <v>958</v>
      </c>
      <c r="C4" s="9" t="s">
        <v>959</v>
      </c>
      <c r="D4" s="10" t="b">
        <v>1</v>
      </c>
      <c r="E4" s="9" t="s">
        <v>960</v>
      </c>
      <c r="F4" s="10" t="b">
        <v>1</v>
      </c>
      <c r="G4" s="9"/>
    </row>
    <row r="5">
      <c r="A5" s="9">
        <v>13.0</v>
      </c>
      <c r="B5" s="9" t="s">
        <v>961</v>
      </c>
      <c r="C5" s="11" t="s">
        <v>962</v>
      </c>
      <c r="D5" s="10" t="b">
        <v>1</v>
      </c>
      <c r="E5" s="11" t="s">
        <v>963</v>
      </c>
      <c r="F5" s="10" t="b">
        <v>1</v>
      </c>
      <c r="G5" s="9"/>
    </row>
    <row r="6">
      <c r="A6" s="9">
        <v>13.0</v>
      </c>
      <c r="B6" s="9" t="s">
        <v>964</v>
      </c>
      <c r="C6" s="9" t="s">
        <v>965</v>
      </c>
      <c r="D6" s="10" t="b">
        <v>1</v>
      </c>
      <c r="E6" s="9" t="s">
        <v>966</v>
      </c>
      <c r="F6" s="10" t="b">
        <v>1</v>
      </c>
      <c r="G6" s="9"/>
    </row>
    <row r="7">
      <c r="A7" s="9">
        <v>13.0</v>
      </c>
      <c r="B7" s="9" t="s">
        <v>967</v>
      </c>
      <c r="C7" s="9" t="s">
        <v>968</v>
      </c>
      <c r="D7" s="10" t="b">
        <v>1</v>
      </c>
      <c r="E7" s="9" t="s">
        <v>969</v>
      </c>
      <c r="F7" s="10" t="b">
        <v>1</v>
      </c>
      <c r="G7" s="9"/>
    </row>
    <row r="8">
      <c r="A8" s="9">
        <v>13.0</v>
      </c>
      <c r="B8" s="9" t="s">
        <v>970</v>
      </c>
      <c r="C8" s="9" t="s">
        <v>971</v>
      </c>
      <c r="D8" s="10" t="b">
        <v>1</v>
      </c>
      <c r="E8" s="9" t="s">
        <v>972</v>
      </c>
      <c r="F8" s="10" t="b">
        <v>1</v>
      </c>
      <c r="G8" s="9"/>
    </row>
    <row r="9">
      <c r="A9" s="9">
        <v>13.0</v>
      </c>
      <c r="B9" s="9" t="s">
        <v>973</v>
      </c>
      <c r="C9" s="9" t="s">
        <v>974</v>
      </c>
      <c r="D9" s="10" t="b">
        <v>1</v>
      </c>
      <c r="E9" s="9" t="s">
        <v>974</v>
      </c>
      <c r="F9" s="10" t="b">
        <v>1</v>
      </c>
      <c r="G9" s="9"/>
    </row>
    <row r="10">
      <c r="A10" s="9">
        <v>13.0</v>
      </c>
      <c r="B10" s="9" t="s">
        <v>975</v>
      </c>
      <c r="C10" s="9" t="s">
        <v>976</v>
      </c>
      <c r="D10" s="10" t="b">
        <v>1</v>
      </c>
      <c r="E10" s="9" t="s">
        <v>976</v>
      </c>
      <c r="F10" s="10" t="b">
        <v>1</v>
      </c>
      <c r="G10" s="9"/>
    </row>
    <row r="11">
      <c r="A11" s="9">
        <v>13.0</v>
      </c>
      <c r="B11" s="9" t="s">
        <v>977</v>
      </c>
      <c r="C11" s="9" t="s">
        <v>978</v>
      </c>
      <c r="D11" s="10" t="b">
        <v>1</v>
      </c>
      <c r="E11" s="9" t="s">
        <v>979</v>
      </c>
      <c r="F11" s="10" t="b">
        <v>1</v>
      </c>
      <c r="G11" s="9"/>
    </row>
    <row r="12">
      <c r="A12" s="9">
        <v>13.0</v>
      </c>
      <c r="B12" s="9" t="s">
        <v>980</v>
      </c>
      <c r="C12" s="9" t="s">
        <v>981</v>
      </c>
      <c r="D12" s="10" t="b">
        <v>1</v>
      </c>
      <c r="E12" s="9" t="s">
        <v>981</v>
      </c>
      <c r="F12" s="10" t="b">
        <v>1</v>
      </c>
      <c r="G12" s="9"/>
    </row>
    <row r="13">
      <c r="A13" s="9">
        <v>13.0</v>
      </c>
      <c r="B13" s="9" t="s">
        <v>982</v>
      </c>
      <c r="C13" s="9" t="s">
        <v>983</v>
      </c>
      <c r="D13" s="10" t="b">
        <v>1</v>
      </c>
      <c r="E13" s="11" t="s">
        <v>984</v>
      </c>
      <c r="F13" s="10" t="b">
        <v>1</v>
      </c>
      <c r="G13" s="9"/>
    </row>
    <row r="14">
      <c r="A14" s="9">
        <v>13.0</v>
      </c>
      <c r="B14" s="9" t="s">
        <v>985</v>
      </c>
      <c r="C14" s="9" t="s">
        <v>986</v>
      </c>
      <c r="D14" s="10" t="b">
        <v>1</v>
      </c>
      <c r="E14" s="11" t="s">
        <v>987</v>
      </c>
      <c r="F14" s="10" t="b">
        <v>1</v>
      </c>
      <c r="G14" s="9"/>
    </row>
    <row r="15">
      <c r="A15" s="9">
        <v>13.0</v>
      </c>
      <c r="B15" s="9" t="s">
        <v>988</v>
      </c>
      <c r="C15" s="11" t="s">
        <v>989</v>
      </c>
      <c r="D15" s="10" t="b">
        <v>1</v>
      </c>
      <c r="E15" s="11" t="s">
        <v>990</v>
      </c>
      <c r="F15" s="10" t="b">
        <v>1</v>
      </c>
      <c r="G15" s="9"/>
    </row>
    <row r="16">
      <c r="A16" s="9">
        <v>13.0</v>
      </c>
      <c r="B16" s="9" t="s">
        <v>991</v>
      </c>
      <c r="C16" s="9" t="s">
        <v>992</v>
      </c>
      <c r="D16" s="10" t="b">
        <v>1</v>
      </c>
      <c r="E16" s="9" t="s">
        <v>993</v>
      </c>
      <c r="F16" s="10" t="b">
        <v>1</v>
      </c>
      <c r="G16" s="9"/>
    </row>
    <row r="17">
      <c r="A17" s="9">
        <v>13.0</v>
      </c>
      <c r="B17" s="9" t="s">
        <v>994</v>
      </c>
      <c r="C17" s="10" t="s">
        <v>995</v>
      </c>
      <c r="D17" s="10" t="b">
        <v>1</v>
      </c>
      <c r="E17" s="9" t="s">
        <v>996</v>
      </c>
      <c r="F17" s="10" t="b">
        <v>1</v>
      </c>
      <c r="G17" s="9"/>
    </row>
    <row r="18" ht="15.75" customHeight="1">
      <c r="A18" s="9">
        <v>13.0</v>
      </c>
      <c r="B18" s="9" t="s">
        <v>997</v>
      </c>
      <c r="C18" s="9" t="s">
        <v>998</v>
      </c>
      <c r="D18" s="10" t="b">
        <v>1</v>
      </c>
      <c r="E18" s="11" t="s">
        <v>999</v>
      </c>
      <c r="F18" s="10" t="b">
        <v>1</v>
      </c>
      <c r="G18" s="9"/>
    </row>
    <row r="19" ht="15.75" customHeight="1">
      <c r="A19" s="9">
        <v>13.0</v>
      </c>
      <c r="B19" s="9" t="s">
        <v>1000</v>
      </c>
      <c r="C19" s="11" t="s">
        <v>1001</v>
      </c>
      <c r="D19" s="10" t="b">
        <v>1</v>
      </c>
      <c r="E19" s="11" t="s">
        <v>1002</v>
      </c>
      <c r="F19" s="10" t="b">
        <v>1</v>
      </c>
      <c r="G19" s="9"/>
    </row>
    <row r="20" ht="15.75" customHeight="1">
      <c r="A20" s="9">
        <v>13.0</v>
      </c>
      <c r="B20" s="9" t="s">
        <v>1003</v>
      </c>
      <c r="C20" s="9" t="s">
        <v>1004</v>
      </c>
      <c r="D20" s="10" t="b">
        <v>1</v>
      </c>
      <c r="E20" s="9" t="s">
        <v>1005</v>
      </c>
      <c r="F20" s="10" t="b">
        <v>1</v>
      </c>
      <c r="G20" s="9"/>
    </row>
    <row r="21" ht="15.75" customHeight="1">
      <c r="A21" s="9">
        <v>13.0</v>
      </c>
      <c r="B21" s="9" t="s">
        <v>1006</v>
      </c>
      <c r="C21" s="9" t="s">
        <v>1007</v>
      </c>
      <c r="D21" s="10" t="b">
        <v>1</v>
      </c>
      <c r="E21" s="9" t="s">
        <v>1007</v>
      </c>
      <c r="F21" s="10" t="b">
        <v>1</v>
      </c>
      <c r="G21" s="9"/>
    </row>
    <row r="22" ht="15.75" customHeight="1">
      <c r="A22" s="9">
        <v>13.0</v>
      </c>
      <c r="B22" s="9" t="s">
        <v>1008</v>
      </c>
      <c r="C22" s="9" t="s">
        <v>1009</v>
      </c>
      <c r="D22" s="10" t="b">
        <v>1</v>
      </c>
      <c r="E22" s="9" t="s">
        <v>1010</v>
      </c>
      <c r="F22" s="10" t="b">
        <v>1</v>
      </c>
      <c r="G22" s="9"/>
    </row>
    <row r="23" ht="15.75" customHeight="1">
      <c r="A23" s="9">
        <v>13.0</v>
      </c>
      <c r="B23" s="9" t="s">
        <v>1011</v>
      </c>
      <c r="C23" s="9" t="s">
        <v>1012</v>
      </c>
      <c r="D23" s="10" t="b">
        <v>1</v>
      </c>
      <c r="E23" s="9" t="s">
        <v>1012</v>
      </c>
      <c r="F23" s="10" t="b">
        <v>1</v>
      </c>
      <c r="G23" s="9"/>
    </row>
    <row r="24" ht="15.75" customHeight="1">
      <c r="A24" s="9">
        <v>13.0</v>
      </c>
      <c r="B24" s="9" t="s">
        <v>1013</v>
      </c>
      <c r="C24" s="9" t="s">
        <v>1014</v>
      </c>
      <c r="D24" s="10" t="b">
        <v>1</v>
      </c>
      <c r="E24" s="9" t="s">
        <v>1015</v>
      </c>
      <c r="F24" s="10" t="b">
        <v>1</v>
      </c>
      <c r="G24" s="9"/>
    </row>
    <row r="25" ht="15.75" customHeight="1">
      <c r="A25" s="9">
        <v>13.0</v>
      </c>
      <c r="B25" s="9" t="s">
        <v>1016</v>
      </c>
      <c r="C25" s="11" t="s">
        <v>1017</v>
      </c>
      <c r="D25" s="10" t="b">
        <v>1</v>
      </c>
      <c r="E25" s="11" t="s">
        <v>1018</v>
      </c>
      <c r="F25" s="10" t="b">
        <v>1</v>
      </c>
      <c r="G25" s="9"/>
    </row>
    <row r="26" ht="15.75" customHeight="1">
      <c r="A26" s="9">
        <v>13.0</v>
      </c>
      <c r="B26" s="9" t="s">
        <v>1019</v>
      </c>
      <c r="C26" s="9" t="s">
        <v>1020</v>
      </c>
      <c r="D26" s="10" t="b">
        <v>1</v>
      </c>
      <c r="E26" s="9" t="s">
        <v>1021</v>
      </c>
      <c r="F26" s="10" t="b">
        <v>1</v>
      </c>
      <c r="G26" s="9"/>
    </row>
    <row r="27" ht="15.75" customHeight="1">
      <c r="A27" s="9">
        <v>13.0</v>
      </c>
      <c r="B27" s="9" t="s">
        <v>1022</v>
      </c>
      <c r="C27" s="9" t="s">
        <v>1023</v>
      </c>
      <c r="D27" s="10" t="b">
        <v>1</v>
      </c>
      <c r="E27" s="9" t="s">
        <v>1024</v>
      </c>
      <c r="F27" s="10" t="b">
        <v>1</v>
      </c>
      <c r="G27" s="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A60" s="9"/>
      <c r="B60" s="9"/>
      <c r="C60" s="9"/>
      <c r="D60" s="9"/>
      <c r="E60" s="9"/>
      <c r="F60" s="9"/>
      <c r="G60" s="9"/>
    </row>
    <row r="61" ht="15.75" customHeight="1">
      <c r="A61" s="9"/>
      <c r="B61" s="9"/>
      <c r="C61" s="9"/>
      <c r="D61" s="9"/>
      <c r="E61" s="9"/>
      <c r="F61" s="9"/>
      <c r="G61" s="9"/>
    </row>
    <row r="62" ht="15.75" customHeight="1">
      <c r="A62" s="9"/>
      <c r="B62" s="9"/>
      <c r="C62" s="9"/>
      <c r="D62" s="9"/>
      <c r="E62" s="9"/>
      <c r="F62" s="9"/>
      <c r="G62" s="9"/>
    </row>
    <row r="63" ht="15.75" customHeight="1">
      <c r="A63" s="9"/>
      <c r="B63" s="9"/>
      <c r="C63" s="9"/>
      <c r="D63" s="9"/>
      <c r="E63" s="9"/>
      <c r="F63" s="9"/>
      <c r="G63" s="9"/>
    </row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C70" s="3"/>
      <c r="D70" s="3"/>
      <c r="E70" s="3"/>
      <c r="F70" s="3"/>
      <c r="G70" s="3"/>
    </row>
    <row r="71" ht="15.75" customHeight="1">
      <c r="C71" s="3"/>
      <c r="D71" s="3"/>
      <c r="E71" s="3"/>
      <c r="F71" s="3"/>
      <c r="G71" s="3"/>
    </row>
    <row r="72" ht="15.75" customHeight="1">
      <c r="C72" s="3"/>
      <c r="D72" s="3"/>
      <c r="E72" s="3"/>
      <c r="F72" s="3"/>
      <c r="G72" s="3"/>
    </row>
    <row r="73" ht="15.75" customHeight="1">
      <c r="C73" s="3"/>
      <c r="D73" s="3"/>
      <c r="E73" s="3"/>
      <c r="F73" s="3"/>
      <c r="G73" s="3"/>
    </row>
    <row r="74" ht="15.75" customHeight="1">
      <c r="C74" s="3"/>
      <c r="D74" s="3"/>
      <c r="E74" s="3"/>
      <c r="F74" s="3"/>
      <c r="G74" s="3"/>
    </row>
    <row r="75" ht="15.75" customHeight="1">
      <c r="C75" s="3"/>
      <c r="D75" s="3"/>
      <c r="E75" s="3"/>
      <c r="F75" s="3"/>
      <c r="G75" s="3"/>
    </row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0"/>
    <col customWidth="1" min="3" max="3" width="24.57"/>
    <col customWidth="1" min="4" max="4" width="11.71"/>
    <col customWidth="1" min="5" max="5" width="22.71"/>
    <col customWidth="1" min="6" max="6" width="13.0"/>
    <col customWidth="1" min="7" max="7" width="22.0"/>
    <col customWidth="1" min="8" max="25" width="8.71"/>
  </cols>
  <sheetData>
    <row r="1">
      <c r="A1" s="7" t="s">
        <v>0</v>
      </c>
      <c r="B1" s="7" t="s">
        <v>108</v>
      </c>
      <c r="C1" s="8" t="s">
        <v>27</v>
      </c>
      <c r="D1" s="7" t="s">
        <v>28</v>
      </c>
      <c r="E1" s="8" t="s">
        <v>29</v>
      </c>
      <c r="F1" s="7" t="s">
        <v>30</v>
      </c>
      <c r="G1" s="8" t="s">
        <v>31</v>
      </c>
    </row>
    <row r="2">
      <c r="A2" s="9">
        <v>14.0</v>
      </c>
      <c r="B2" s="9" t="s">
        <v>1025</v>
      </c>
      <c r="C2" s="11" t="s">
        <v>1026</v>
      </c>
      <c r="D2" s="9"/>
      <c r="E2" s="11" t="s">
        <v>1027</v>
      </c>
      <c r="F2" s="9"/>
      <c r="G2" s="9"/>
    </row>
    <row r="3">
      <c r="A3" s="9">
        <v>14.0</v>
      </c>
      <c r="B3" s="9" t="s">
        <v>1028</v>
      </c>
      <c r="C3" s="11" t="s">
        <v>1029</v>
      </c>
      <c r="D3" s="10" t="b">
        <v>1</v>
      </c>
      <c r="E3" s="11" t="s">
        <v>1030</v>
      </c>
      <c r="F3" s="10" t="b">
        <v>1</v>
      </c>
      <c r="G3" s="9"/>
    </row>
    <row r="4">
      <c r="A4" s="9">
        <v>14.0</v>
      </c>
      <c r="B4" s="9" t="s">
        <v>1031</v>
      </c>
      <c r="C4" s="9" t="s">
        <v>1032</v>
      </c>
      <c r="D4" s="10" t="b">
        <v>1</v>
      </c>
      <c r="E4" s="9" t="s">
        <v>1032</v>
      </c>
      <c r="F4" s="10" t="b">
        <v>1</v>
      </c>
      <c r="G4" s="9"/>
    </row>
    <row r="5">
      <c r="A5" s="9">
        <v>14.0</v>
      </c>
      <c r="B5" s="9" t="s">
        <v>1033</v>
      </c>
      <c r="C5" s="9" t="s">
        <v>1034</v>
      </c>
      <c r="D5" s="10" t="b">
        <v>1</v>
      </c>
      <c r="E5" s="9" t="s">
        <v>1034</v>
      </c>
      <c r="F5" s="10" t="b">
        <v>1</v>
      </c>
      <c r="G5" s="9"/>
    </row>
    <row r="6">
      <c r="A6" s="9">
        <v>14.0</v>
      </c>
      <c r="B6" s="9" t="s">
        <v>1035</v>
      </c>
      <c r="C6" s="9" t="s">
        <v>1036</v>
      </c>
      <c r="D6" s="10" t="b">
        <v>1</v>
      </c>
      <c r="E6" s="9" t="s">
        <v>1036</v>
      </c>
      <c r="F6" s="10" t="b">
        <v>1</v>
      </c>
      <c r="G6" s="9"/>
    </row>
    <row r="7">
      <c r="A7" s="9">
        <v>14.0</v>
      </c>
      <c r="B7" s="9" t="s">
        <v>1037</v>
      </c>
      <c r="C7" s="9" t="s">
        <v>1038</v>
      </c>
      <c r="D7" s="10" t="b">
        <v>1</v>
      </c>
      <c r="E7" s="9" t="s">
        <v>1039</v>
      </c>
      <c r="F7" s="10" t="b">
        <v>1</v>
      </c>
      <c r="G7" s="9"/>
    </row>
    <row r="8">
      <c r="A8" s="9">
        <v>14.0</v>
      </c>
      <c r="B8" s="9" t="s">
        <v>1040</v>
      </c>
      <c r="C8" s="9" t="s">
        <v>1041</v>
      </c>
      <c r="D8" s="10" t="b">
        <v>1</v>
      </c>
      <c r="E8" s="11" t="s">
        <v>1042</v>
      </c>
      <c r="F8" s="10" t="b">
        <v>1</v>
      </c>
      <c r="G8" s="9"/>
    </row>
    <row r="9">
      <c r="A9" s="9">
        <v>14.0</v>
      </c>
      <c r="B9" s="9" t="s">
        <v>1043</v>
      </c>
      <c r="C9" s="9" t="s">
        <v>1044</v>
      </c>
      <c r="D9" s="10" t="b">
        <v>1</v>
      </c>
      <c r="E9" s="9" t="s">
        <v>1045</v>
      </c>
      <c r="F9" s="10" t="b">
        <v>1</v>
      </c>
      <c r="G9" s="9"/>
    </row>
    <row r="10">
      <c r="A10" s="9">
        <v>14.0</v>
      </c>
      <c r="B10" s="9" t="s">
        <v>1046</v>
      </c>
      <c r="C10" s="9" t="s">
        <v>1047</v>
      </c>
      <c r="D10" s="10" t="b">
        <v>1</v>
      </c>
      <c r="E10" s="9" t="s">
        <v>1047</v>
      </c>
      <c r="F10" s="10" t="b">
        <v>1</v>
      </c>
      <c r="G10" s="9"/>
    </row>
    <row r="11">
      <c r="A11" s="9">
        <v>14.0</v>
      </c>
      <c r="B11" s="9" t="s">
        <v>1048</v>
      </c>
      <c r="C11" s="9" t="s">
        <v>1049</v>
      </c>
      <c r="D11" s="10" t="b">
        <v>1</v>
      </c>
      <c r="E11" s="9" t="s">
        <v>1050</v>
      </c>
      <c r="F11" s="10" t="b">
        <v>1</v>
      </c>
      <c r="G11" s="9"/>
    </row>
    <row r="12">
      <c r="A12" s="9">
        <v>14.0</v>
      </c>
      <c r="B12" s="9" t="s">
        <v>1051</v>
      </c>
      <c r="C12" s="9" t="s">
        <v>1052</v>
      </c>
      <c r="D12" s="10" t="b">
        <v>1</v>
      </c>
      <c r="E12" s="11" t="s">
        <v>1053</v>
      </c>
      <c r="F12" s="10" t="b">
        <v>1</v>
      </c>
      <c r="G12" s="9"/>
    </row>
    <row r="13">
      <c r="A13" s="9">
        <v>14.0</v>
      </c>
      <c r="B13" s="9" t="s">
        <v>1054</v>
      </c>
      <c r="C13" s="9" t="s">
        <v>1055</v>
      </c>
      <c r="D13" s="10" t="b">
        <v>1</v>
      </c>
      <c r="E13" s="9" t="s">
        <v>1056</v>
      </c>
      <c r="F13" s="10" t="b">
        <v>1</v>
      </c>
      <c r="G13" s="9"/>
    </row>
    <row r="14">
      <c r="A14" s="9">
        <v>14.0</v>
      </c>
      <c r="B14" s="9" t="s">
        <v>1057</v>
      </c>
      <c r="C14" s="9" t="s">
        <v>1058</v>
      </c>
      <c r="D14" s="10" t="b">
        <v>1</v>
      </c>
      <c r="E14" s="9" t="s">
        <v>1058</v>
      </c>
      <c r="F14" s="10" t="b">
        <v>1</v>
      </c>
      <c r="G14" s="9"/>
    </row>
    <row r="15">
      <c r="A15" s="9">
        <v>14.0</v>
      </c>
      <c r="B15" s="9" t="s">
        <v>1059</v>
      </c>
      <c r="C15" s="9" t="s">
        <v>1060</v>
      </c>
      <c r="D15" s="10" t="b">
        <v>1</v>
      </c>
      <c r="E15" s="11" t="s">
        <v>1060</v>
      </c>
      <c r="F15" s="10" t="b">
        <v>1</v>
      </c>
      <c r="G15" s="9"/>
    </row>
    <row r="16">
      <c r="A16" s="9">
        <v>14.0</v>
      </c>
      <c r="B16" s="9" t="s">
        <v>1061</v>
      </c>
      <c r="C16" s="9" t="s">
        <v>1062</v>
      </c>
      <c r="D16" s="10" t="b">
        <v>1</v>
      </c>
      <c r="E16" s="9" t="s">
        <v>1063</v>
      </c>
      <c r="F16" s="10" t="b">
        <v>1</v>
      </c>
      <c r="G16" s="9"/>
    </row>
    <row r="17">
      <c r="A17" s="9">
        <v>14.0</v>
      </c>
      <c r="B17" s="9" t="s">
        <v>1064</v>
      </c>
      <c r="C17" s="11" t="s">
        <v>1065</v>
      </c>
      <c r="D17" s="10" t="b">
        <v>1</v>
      </c>
      <c r="E17" s="11" t="s">
        <v>1066</v>
      </c>
      <c r="F17" s="10" t="b">
        <v>1</v>
      </c>
      <c r="G17" s="9"/>
    </row>
    <row r="18">
      <c r="A18" s="9">
        <v>14.0</v>
      </c>
      <c r="B18" s="9" t="s">
        <v>1067</v>
      </c>
      <c r="C18" s="9" t="s">
        <v>1068</v>
      </c>
      <c r="D18" s="10" t="b">
        <v>1</v>
      </c>
      <c r="E18" s="9" t="s">
        <v>1069</v>
      </c>
      <c r="F18" s="10" t="b">
        <v>1</v>
      </c>
      <c r="G18" s="9"/>
    </row>
    <row r="19">
      <c r="A19" s="9">
        <v>14.0</v>
      </c>
      <c r="B19" s="9" t="s">
        <v>1070</v>
      </c>
      <c r="C19" s="9" t="s">
        <v>1071</v>
      </c>
      <c r="D19" s="10" t="b">
        <v>1</v>
      </c>
      <c r="E19" s="9" t="s">
        <v>1071</v>
      </c>
      <c r="F19" s="10" t="b">
        <v>1</v>
      </c>
      <c r="G19" s="9"/>
    </row>
    <row r="20" ht="15.75" customHeight="1">
      <c r="A20" s="9">
        <v>14.0</v>
      </c>
      <c r="B20" s="9" t="s">
        <v>1072</v>
      </c>
      <c r="C20" s="9" t="s">
        <v>1073</v>
      </c>
      <c r="D20" s="10" t="b">
        <v>1</v>
      </c>
      <c r="E20" s="9" t="s">
        <v>1073</v>
      </c>
      <c r="F20" s="10" t="b">
        <v>1</v>
      </c>
      <c r="G20" s="9"/>
    </row>
    <row r="21" ht="15.75" customHeight="1">
      <c r="A21" s="9">
        <v>14.0</v>
      </c>
      <c r="B21" s="9" t="s">
        <v>1074</v>
      </c>
      <c r="C21" s="11" t="s">
        <v>1075</v>
      </c>
      <c r="D21" s="10" t="b">
        <v>1</v>
      </c>
      <c r="E21" s="10" t="s">
        <v>1076</v>
      </c>
      <c r="F21" s="10" t="b">
        <v>1</v>
      </c>
      <c r="G21" s="9"/>
    </row>
    <row r="22" ht="15.75" customHeight="1">
      <c r="A22" s="9">
        <v>14.0</v>
      </c>
      <c r="B22" s="9" t="s">
        <v>1077</v>
      </c>
      <c r="C22" s="10" t="s">
        <v>1078</v>
      </c>
      <c r="D22" s="10" t="b">
        <v>1</v>
      </c>
      <c r="E22" s="11" t="s">
        <v>1079</v>
      </c>
      <c r="F22" s="10" t="b">
        <v>1</v>
      </c>
      <c r="G22" s="9"/>
    </row>
    <row r="23" ht="15.75" customHeight="1">
      <c r="A23" s="9">
        <v>14.0</v>
      </c>
      <c r="B23" s="9" t="s">
        <v>1080</v>
      </c>
      <c r="C23" s="9" t="s">
        <v>1081</v>
      </c>
      <c r="D23" s="10" t="b">
        <v>1</v>
      </c>
      <c r="E23" s="9" t="s">
        <v>1082</v>
      </c>
      <c r="F23" s="10" t="b">
        <v>1</v>
      </c>
      <c r="G23" s="9"/>
    </row>
    <row r="24" ht="15.75" customHeight="1">
      <c r="A24" s="9">
        <v>14.0</v>
      </c>
      <c r="B24" s="9" t="s">
        <v>1083</v>
      </c>
      <c r="C24" s="9" t="s">
        <v>1084</v>
      </c>
      <c r="D24" s="10" t="b">
        <v>1</v>
      </c>
      <c r="E24" s="9" t="s">
        <v>1085</v>
      </c>
      <c r="F24" s="10" t="b">
        <v>1</v>
      </c>
      <c r="G24" s="9"/>
    </row>
    <row r="25" ht="15.75" customHeight="1">
      <c r="A25" s="9">
        <v>14.0</v>
      </c>
      <c r="B25" s="9" t="s">
        <v>1086</v>
      </c>
      <c r="C25" s="9" t="s">
        <v>1087</v>
      </c>
      <c r="D25" s="10" t="b">
        <v>1</v>
      </c>
      <c r="E25" s="9" t="s">
        <v>1087</v>
      </c>
      <c r="F25" s="10" t="b">
        <v>1</v>
      </c>
      <c r="G25" s="9"/>
    </row>
    <row r="26" ht="15.75" customHeight="1">
      <c r="A26" s="9">
        <v>14.0</v>
      </c>
      <c r="B26" s="9" t="s">
        <v>1088</v>
      </c>
      <c r="C26" s="9" t="s">
        <v>1089</v>
      </c>
      <c r="D26" s="10" t="b">
        <v>1</v>
      </c>
      <c r="E26" s="9" t="s">
        <v>1090</v>
      </c>
      <c r="F26" s="10" t="b">
        <v>1</v>
      </c>
      <c r="G26" s="9"/>
    </row>
    <row r="27" ht="15.75" customHeight="1">
      <c r="A27" s="9">
        <v>14.0</v>
      </c>
      <c r="B27" s="9" t="s">
        <v>1091</v>
      </c>
      <c r="C27" s="9" t="s">
        <v>1092</v>
      </c>
      <c r="D27" s="10" t="b">
        <v>1</v>
      </c>
      <c r="E27" s="9" t="s">
        <v>1092</v>
      </c>
      <c r="F27" s="10" t="b">
        <v>1</v>
      </c>
      <c r="G27" s="9"/>
    </row>
    <row r="28" ht="15.75" customHeight="1">
      <c r="A28" s="9">
        <v>14.0</v>
      </c>
      <c r="B28" s="9" t="s">
        <v>1093</v>
      </c>
      <c r="C28" s="9" t="s">
        <v>1094</v>
      </c>
      <c r="D28" s="10" t="b">
        <v>1</v>
      </c>
      <c r="E28" s="9" t="s">
        <v>1095</v>
      </c>
      <c r="F28" s="10" t="b">
        <v>1</v>
      </c>
      <c r="G28" s="9"/>
    </row>
    <row r="29" ht="15.75" customHeight="1">
      <c r="A29" s="9">
        <v>14.0</v>
      </c>
      <c r="B29" s="9" t="s">
        <v>1096</v>
      </c>
      <c r="C29" s="9" t="s">
        <v>1097</v>
      </c>
      <c r="D29" s="10" t="b">
        <v>1</v>
      </c>
      <c r="E29" s="9" t="s">
        <v>1097</v>
      </c>
      <c r="F29" s="10" t="b">
        <v>1</v>
      </c>
      <c r="G29" s="9"/>
    </row>
    <row r="30" ht="15.75" customHeight="1">
      <c r="A30" s="9">
        <v>14.0</v>
      </c>
      <c r="B30" s="9" t="s">
        <v>1098</v>
      </c>
      <c r="C30" s="9" t="s">
        <v>1099</v>
      </c>
      <c r="D30" s="10" t="b">
        <v>1</v>
      </c>
      <c r="E30" s="9" t="s">
        <v>1099</v>
      </c>
      <c r="F30" s="10" t="b">
        <v>1</v>
      </c>
      <c r="G30" s="9"/>
    </row>
    <row r="31" ht="15.75" customHeight="1">
      <c r="A31" s="9">
        <v>14.0</v>
      </c>
      <c r="B31" s="9" t="s">
        <v>1100</v>
      </c>
      <c r="C31" s="11" t="s">
        <v>1101</v>
      </c>
      <c r="D31" s="10" t="b">
        <v>1</v>
      </c>
      <c r="E31" s="11" t="s">
        <v>1102</v>
      </c>
      <c r="F31" s="10" t="b">
        <v>1</v>
      </c>
      <c r="G31" s="9"/>
    </row>
    <row r="32" ht="15.75" customHeight="1">
      <c r="A32" s="9">
        <v>14.0</v>
      </c>
      <c r="B32" s="9" t="s">
        <v>1103</v>
      </c>
      <c r="C32" s="9" t="s">
        <v>1104</v>
      </c>
      <c r="D32" s="10" t="b">
        <v>1</v>
      </c>
      <c r="E32" s="9" t="s">
        <v>1105</v>
      </c>
      <c r="F32" s="10" t="b">
        <v>1</v>
      </c>
      <c r="G32" s="9"/>
    </row>
    <row r="33" ht="15.75" customHeight="1">
      <c r="A33" s="9">
        <v>14.0</v>
      </c>
      <c r="B33" s="9" t="s">
        <v>1106</v>
      </c>
      <c r="C33" s="9" t="s">
        <v>1107</v>
      </c>
      <c r="D33" s="10" t="b">
        <v>1</v>
      </c>
      <c r="E33" s="10" t="s">
        <v>1107</v>
      </c>
      <c r="F33" s="10" t="b">
        <v>1</v>
      </c>
      <c r="G33" s="9"/>
    </row>
    <row r="34" ht="15.75" customHeight="1">
      <c r="A34" s="9">
        <v>14.0</v>
      </c>
      <c r="B34" s="9" t="s">
        <v>1108</v>
      </c>
      <c r="C34" s="9" t="s">
        <v>1109</v>
      </c>
      <c r="D34" s="10" t="b">
        <v>1</v>
      </c>
      <c r="E34" s="9" t="s">
        <v>1109</v>
      </c>
      <c r="F34" s="10" t="b">
        <v>1</v>
      </c>
      <c r="G34" s="9"/>
    </row>
    <row r="35" ht="15.75" customHeight="1">
      <c r="A35" s="9">
        <v>14.0</v>
      </c>
      <c r="B35" s="9" t="s">
        <v>1110</v>
      </c>
      <c r="C35" s="9" t="s">
        <v>1111</v>
      </c>
      <c r="D35" s="10" t="b">
        <v>1</v>
      </c>
      <c r="E35" s="9" t="s">
        <v>1112</v>
      </c>
      <c r="F35" s="10" t="b">
        <v>1</v>
      </c>
      <c r="G35" s="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>
      <c r="C74" s="3"/>
      <c r="D74" s="3"/>
      <c r="E74" s="3"/>
      <c r="F74" s="3"/>
      <c r="G74" s="3"/>
    </row>
    <row r="75" ht="15.75" customHeight="1">
      <c r="C75" s="3"/>
      <c r="D75" s="3"/>
      <c r="E75" s="3"/>
      <c r="F75" s="3"/>
      <c r="G75" s="3"/>
    </row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  <c r="D268" s="3"/>
      <c r="E268" s="3"/>
      <c r="F268" s="3"/>
      <c r="G268" s="3"/>
    </row>
    <row r="269" ht="15.75" customHeight="1">
      <c r="C269" s="3"/>
      <c r="D269" s="3"/>
      <c r="E269" s="3"/>
      <c r="F269" s="3"/>
      <c r="G269" s="3"/>
    </row>
    <row r="270" ht="15.75" customHeight="1">
      <c r="C270" s="3"/>
      <c r="D270" s="3"/>
      <c r="E270" s="3"/>
      <c r="F270" s="3"/>
      <c r="G270" s="3"/>
    </row>
    <row r="271" ht="15.75" customHeight="1">
      <c r="C271" s="3"/>
      <c r="D271" s="3"/>
      <c r="E271" s="3"/>
      <c r="F271" s="3"/>
      <c r="G271" s="3"/>
    </row>
    <row r="272" ht="15.75" customHeight="1">
      <c r="C272" s="3"/>
      <c r="D272" s="3"/>
      <c r="E272" s="3"/>
      <c r="F272" s="3"/>
      <c r="G272" s="3"/>
    </row>
    <row r="273" ht="15.75" customHeight="1">
      <c r="C273" s="3"/>
      <c r="D273" s="3"/>
      <c r="E273" s="3"/>
      <c r="F273" s="3"/>
      <c r="G273" s="3"/>
    </row>
    <row r="274" ht="15.75" customHeight="1">
      <c r="C274" s="3"/>
      <c r="D274" s="3"/>
      <c r="E274" s="3"/>
      <c r="F274" s="3"/>
      <c r="G274" s="3"/>
    </row>
    <row r="275" ht="15.75" customHeight="1">
      <c r="C275" s="3"/>
      <c r="D275" s="3"/>
      <c r="E275" s="3"/>
      <c r="F275" s="3"/>
      <c r="G275" s="3"/>
    </row>
    <row r="276" ht="15.75" customHeight="1">
      <c r="C276" s="3"/>
      <c r="D276" s="3"/>
      <c r="E276" s="3"/>
      <c r="F276" s="3"/>
      <c r="G276" s="3"/>
    </row>
    <row r="277" ht="15.75" customHeight="1">
      <c r="C277" s="3"/>
      <c r="D277" s="3"/>
      <c r="E277" s="3"/>
      <c r="F277" s="3"/>
      <c r="G277" s="3"/>
    </row>
    <row r="278" ht="15.75" customHeight="1">
      <c r="C278" s="3"/>
      <c r="D278" s="3"/>
      <c r="E278" s="3"/>
      <c r="F278" s="3"/>
      <c r="G278" s="3"/>
    </row>
    <row r="279" ht="15.75" customHeight="1">
      <c r="C279" s="3"/>
      <c r="D279" s="3"/>
      <c r="E279" s="3"/>
      <c r="F279" s="3"/>
      <c r="G279" s="3"/>
    </row>
    <row r="280" ht="15.75" customHeight="1">
      <c r="C280" s="3"/>
      <c r="D280" s="3"/>
      <c r="E280" s="3"/>
      <c r="F280" s="3"/>
      <c r="G280" s="3"/>
    </row>
    <row r="281" ht="15.75" customHeight="1">
      <c r="C281" s="3"/>
      <c r="D281" s="3"/>
      <c r="E281" s="3"/>
      <c r="F281" s="3"/>
      <c r="G281" s="3"/>
    </row>
    <row r="282" ht="15.75" customHeight="1">
      <c r="C282" s="3"/>
      <c r="D282" s="3"/>
      <c r="E282" s="3"/>
      <c r="F282" s="3"/>
      <c r="G282" s="3"/>
    </row>
    <row r="283" ht="15.75" customHeight="1">
      <c r="C283" s="3"/>
      <c r="D283" s="3"/>
      <c r="E283" s="3"/>
      <c r="F283" s="3"/>
      <c r="G283" s="3"/>
    </row>
    <row r="284" ht="15.75" customHeight="1">
      <c r="C284" s="3"/>
      <c r="D284" s="3"/>
      <c r="E284" s="3"/>
      <c r="F284" s="3"/>
      <c r="G284" s="3"/>
    </row>
    <row r="285" ht="15.75" customHeight="1">
      <c r="C285" s="3"/>
      <c r="D285" s="3"/>
      <c r="E285" s="3"/>
      <c r="F285" s="3"/>
      <c r="G285" s="3"/>
    </row>
    <row r="286" ht="15.75" customHeight="1">
      <c r="C286" s="3"/>
      <c r="D286" s="3"/>
      <c r="E286" s="3"/>
      <c r="F286" s="3"/>
      <c r="G286" s="3"/>
    </row>
    <row r="287" ht="15.75" customHeight="1">
      <c r="C287" s="3"/>
      <c r="D287" s="3"/>
      <c r="E287" s="3"/>
      <c r="F287" s="3"/>
      <c r="G287" s="3"/>
    </row>
    <row r="288" ht="15.75" customHeight="1">
      <c r="C288" s="3"/>
      <c r="D288" s="3"/>
      <c r="E288" s="3"/>
      <c r="F288" s="3"/>
      <c r="G288" s="3"/>
    </row>
    <row r="289" ht="15.75" customHeight="1">
      <c r="C289" s="3"/>
      <c r="D289" s="3"/>
      <c r="E289" s="3"/>
      <c r="F289" s="3"/>
      <c r="G289" s="3"/>
    </row>
    <row r="290" ht="15.75" customHeight="1">
      <c r="C290" s="3"/>
      <c r="D290" s="3"/>
      <c r="E290" s="3"/>
      <c r="F290" s="3"/>
      <c r="G290" s="3"/>
    </row>
    <row r="291" ht="15.75" customHeight="1">
      <c r="C291" s="3"/>
      <c r="D291" s="3"/>
      <c r="E291" s="3"/>
      <c r="F291" s="3"/>
      <c r="G291" s="3"/>
    </row>
    <row r="292" ht="15.75" customHeight="1">
      <c r="C292" s="3"/>
      <c r="D292" s="3"/>
      <c r="E292" s="3"/>
      <c r="F292" s="3"/>
      <c r="G292" s="3"/>
    </row>
    <row r="293" ht="15.75" customHeight="1">
      <c r="C293" s="3"/>
      <c r="D293" s="3"/>
      <c r="E293" s="3"/>
      <c r="F293" s="3"/>
      <c r="G293" s="3"/>
    </row>
    <row r="294" ht="15.75" customHeight="1">
      <c r="C294" s="3"/>
      <c r="D294" s="3"/>
      <c r="E294" s="3"/>
      <c r="F294" s="3"/>
      <c r="G294" s="3"/>
    </row>
    <row r="295" ht="15.75" customHeight="1">
      <c r="C295" s="3"/>
      <c r="D295" s="3"/>
      <c r="E295" s="3"/>
      <c r="F295" s="3"/>
      <c r="G295" s="3"/>
    </row>
    <row r="296" ht="15.75" customHeight="1">
      <c r="C296" s="3"/>
      <c r="D296" s="3"/>
      <c r="E296" s="3"/>
      <c r="F296" s="3"/>
      <c r="G296" s="3"/>
    </row>
    <row r="297" ht="15.75" customHeight="1">
      <c r="C297" s="3"/>
      <c r="D297" s="3"/>
      <c r="E297" s="3"/>
      <c r="F297" s="3"/>
      <c r="G297" s="3"/>
    </row>
    <row r="298" ht="15.75" customHeight="1">
      <c r="C298" s="3"/>
      <c r="D298" s="3"/>
      <c r="E298" s="3"/>
      <c r="F298" s="3"/>
      <c r="G298" s="3"/>
    </row>
    <row r="299" ht="15.75" customHeight="1">
      <c r="C299" s="3"/>
      <c r="D299" s="3"/>
      <c r="E299" s="3"/>
      <c r="F299" s="3"/>
      <c r="G299" s="3"/>
    </row>
    <row r="300" ht="15.75" customHeight="1">
      <c r="C300" s="3"/>
      <c r="D300" s="3"/>
      <c r="E300" s="3"/>
      <c r="F300" s="3"/>
      <c r="G300" s="3"/>
    </row>
    <row r="301" ht="15.75" customHeight="1">
      <c r="C301" s="3"/>
      <c r="D301" s="3"/>
      <c r="E301" s="3"/>
      <c r="F301" s="3"/>
      <c r="G301" s="3"/>
    </row>
    <row r="302" ht="15.75" customHeight="1">
      <c r="C302" s="3"/>
      <c r="D302" s="3"/>
      <c r="E302" s="3"/>
      <c r="F302" s="3"/>
      <c r="G302" s="3"/>
    </row>
    <row r="303" ht="15.75" customHeight="1">
      <c r="C303" s="3"/>
      <c r="D303" s="3"/>
      <c r="E303" s="3"/>
      <c r="F303" s="3"/>
      <c r="G303" s="3"/>
    </row>
    <row r="304" ht="15.75" customHeight="1">
      <c r="C304" s="3"/>
      <c r="D304" s="3"/>
      <c r="E304" s="3"/>
      <c r="F304" s="3"/>
      <c r="G304" s="3"/>
    </row>
    <row r="305" ht="15.75" customHeight="1">
      <c r="C305" s="3"/>
      <c r="D305" s="3"/>
      <c r="E305" s="3"/>
      <c r="F305" s="3"/>
      <c r="G305" s="3"/>
    </row>
    <row r="306" ht="15.75" customHeight="1">
      <c r="C306" s="3"/>
      <c r="D306" s="3"/>
      <c r="E306" s="3"/>
      <c r="F306" s="3"/>
      <c r="G306" s="3"/>
    </row>
    <row r="307" ht="15.75" customHeight="1">
      <c r="C307" s="3"/>
      <c r="D307" s="3"/>
      <c r="E307" s="3"/>
      <c r="F307" s="3"/>
      <c r="G307" s="3"/>
    </row>
    <row r="308" ht="15.75" customHeight="1">
      <c r="C308" s="3"/>
      <c r="D308" s="3"/>
      <c r="E308" s="3"/>
      <c r="F308" s="3"/>
      <c r="G308" s="3"/>
    </row>
    <row r="309" ht="15.75" customHeight="1">
      <c r="C309" s="3"/>
      <c r="D309" s="3"/>
      <c r="E309" s="3"/>
      <c r="F309" s="3"/>
      <c r="G309" s="3"/>
    </row>
    <row r="310" ht="15.75" customHeight="1">
      <c r="C310" s="3"/>
      <c r="D310" s="3"/>
      <c r="E310" s="3"/>
      <c r="F310" s="3"/>
      <c r="G310" s="3"/>
    </row>
    <row r="311" ht="15.75" customHeight="1">
      <c r="C311" s="3"/>
      <c r="D311" s="3"/>
      <c r="E311" s="3"/>
      <c r="F311" s="3"/>
      <c r="G311" s="3"/>
    </row>
    <row r="312" ht="15.75" customHeight="1">
      <c r="C312" s="3"/>
      <c r="D312" s="3"/>
      <c r="E312" s="3"/>
      <c r="F312" s="3"/>
      <c r="G312" s="3"/>
    </row>
    <row r="313" ht="15.75" customHeight="1">
      <c r="C313" s="3"/>
      <c r="D313" s="3"/>
      <c r="E313" s="3"/>
      <c r="F313" s="3"/>
      <c r="G313" s="3"/>
    </row>
    <row r="314" ht="15.75" customHeight="1">
      <c r="C314" s="3"/>
      <c r="D314" s="3"/>
      <c r="E314" s="3"/>
      <c r="F314" s="3"/>
      <c r="G314" s="3"/>
    </row>
    <row r="315" ht="15.75" customHeight="1">
      <c r="C315" s="3"/>
      <c r="D315" s="3"/>
      <c r="E315" s="3"/>
      <c r="F315" s="3"/>
      <c r="G315" s="3"/>
    </row>
    <row r="316" ht="15.75" customHeight="1">
      <c r="C316" s="3"/>
      <c r="D316" s="3"/>
      <c r="E316" s="3"/>
      <c r="F316" s="3"/>
      <c r="G316" s="3"/>
    </row>
    <row r="317" ht="15.75" customHeight="1">
      <c r="C317" s="3"/>
      <c r="D317" s="3"/>
      <c r="E317" s="3"/>
      <c r="F317" s="3"/>
      <c r="G317" s="3"/>
    </row>
    <row r="318" ht="15.75" customHeight="1">
      <c r="C318" s="3"/>
      <c r="D318" s="3"/>
      <c r="E318" s="3"/>
      <c r="F318" s="3"/>
      <c r="G318" s="3"/>
    </row>
    <row r="319" ht="15.75" customHeight="1">
      <c r="C319" s="3"/>
      <c r="D319" s="3"/>
      <c r="E319" s="3"/>
      <c r="F319" s="3"/>
      <c r="G319" s="3"/>
    </row>
    <row r="320" ht="15.75" customHeight="1">
      <c r="C320" s="3"/>
      <c r="D320" s="3"/>
      <c r="E320" s="3"/>
      <c r="F320" s="3"/>
      <c r="G320" s="3"/>
    </row>
    <row r="321" ht="15.75" customHeight="1">
      <c r="C321" s="3"/>
      <c r="D321" s="3"/>
      <c r="E321" s="3"/>
      <c r="F321" s="3"/>
      <c r="G321" s="3"/>
    </row>
    <row r="322" ht="15.75" customHeight="1">
      <c r="C322" s="3"/>
      <c r="D322" s="3"/>
      <c r="E322" s="3"/>
      <c r="F322" s="3"/>
      <c r="G322" s="3"/>
    </row>
    <row r="323" ht="15.75" customHeight="1">
      <c r="C323" s="3"/>
      <c r="D323" s="3"/>
      <c r="E323" s="3"/>
      <c r="F323" s="3"/>
      <c r="G323" s="3"/>
    </row>
    <row r="324" ht="15.75" customHeight="1">
      <c r="C324" s="3"/>
      <c r="D324" s="3"/>
      <c r="E324" s="3"/>
      <c r="F324" s="3"/>
      <c r="G324" s="3"/>
    </row>
    <row r="325" ht="15.75" customHeight="1">
      <c r="C325" s="3"/>
      <c r="D325" s="3"/>
      <c r="E325" s="3"/>
      <c r="F325" s="3"/>
      <c r="G325" s="3"/>
    </row>
    <row r="326" ht="15.75" customHeight="1">
      <c r="C326" s="3"/>
      <c r="D326" s="3"/>
      <c r="E326" s="3"/>
      <c r="F326" s="3"/>
      <c r="G326" s="3"/>
    </row>
    <row r="327" ht="15.75" customHeight="1">
      <c r="C327" s="3"/>
      <c r="D327" s="3"/>
      <c r="E327" s="3"/>
      <c r="F327" s="3"/>
      <c r="G327" s="3"/>
    </row>
    <row r="328" ht="15.75" customHeight="1">
      <c r="C328" s="3"/>
      <c r="D328" s="3"/>
      <c r="E328" s="3"/>
      <c r="F328" s="3"/>
      <c r="G328" s="3"/>
    </row>
    <row r="329" ht="15.75" customHeight="1">
      <c r="C329" s="3"/>
      <c r="D329" s="3"/>
      <c r="E329" s="3"/>
      <c r="F329" s="3"/>
      <c r="G329" s="3"/>
    </row>
    <row r="330" ht="15.75" customHeight="1">
      <c r="C330" s="3"/>
      <c r="D330" s="3"/>
      <c r="E330" s="3"/>
      <c r="F330" s="3"/>
      <c r="G330" s="3"/>
    </row>
    <row r="331" ht="15.75" customHeight="1">
      <c r="C331" s="3"/>
      <c r="D331" s="3"/>
      <c r="E331" s="3"/>
      <c r="F331" s="3"/>
      <c r="G331" s="3"/>
    </row>
    <row r="332" ht="15.75" customHeight="1">
      <c r="C332" s="3"/>
      <c r="D332" s="3"/>
      <c r="E332" s="3"/>
      <c r="F332" s="3"/>
      <c r="G332" s="3"/>
    </row>
    <row r="333" ht="15.75" customHeight="1">
      <c r="C333" s="3"/>
      <c r="D333" s="3"/>
      <c r="E333" s="3"/>
      <c r="F333" s="3"/>
      <c r="G333" s="3"/>
    </row>
    <row r="334" ht="15.75" customHeight="1">
      <c r="C334" s="3"/>
      <c r="D334" s="3"/>
      <c r="E334" s="3"/>
      <c r="F334" s="3"/>
      <c r="G334" s="3"/>
    </row>
    <row r="335" ht="15.75" customHeight="1">
      <c r="C335" s="3"/>
      <c r="D335" s="3"/>
      <c r="E335" s="3"/>
      <c r="F335" s="3"/>
      <c r="G335" s="3"/>
    </row>
    <row r="336" ht="15.75" customHeight="1">
      <c r="C336" s="3"/>
      <c r="D336" s="3"/>
      <c r="E336" s="3"/>
      <c r="F336" s="3"/>
      <c r="G336" s="3"/>
    </row>
    <row r="337" ht="15.75" customHeight="1">
      <c r="C337" s="3"/>
      <c r="D337" s="3"/>
      <c r="E337" s="3"/>
      <c r="F337" s="3"/>
      <c r="G337" s="3"/>
    </row>
    <row r="338" ht="15.75" customHeight="1">
      <c r="C338" s="3"/>
      <c r="D338" s="3"/>
      <c r="E338" s="3"/>
      <c r="F338" s="3"/>
      <c r="G338" s="3"/>
    </row>
    <row r="339" ht="15.75" customHeight="1">
      <c r="C339" s="3"/>
      <c r="D339" s="3"/>
      <c r="E339" s="3"/>
      <c r="F339" s="3"/>
      <c r="G339" s="3"/>
    </row>
    <row r="340" ht="15.75" customHeight="1">
      <c r="C340" s="3"/>
      <c r="D340" s="3"/>
      <c r="E340" s="3"/>
      <c r="F340" s="3"/>
      <c r="G340" s="3"/>
    </row>
    <row r="341" ht="15.75" customHeight="1">
      <c r="C341" s="3"/>
      <c r="D341" s="3"/>
      <c r="E341" s="3"/>
      <c r="F341" s="3"/>
      <c r="G341" s="3"/>
    </row>
    <row r="342" ht="15.75" customHeight="1">
      <c r="C342" s="3"/>
      <c r="D342" s="3"/>
      <c r="E342" s="3"/>
      <c r="F342" s="3"/>
      <c r="G342" s="3"/>
    </row>
    <row r="343" ht="15.75" customHeight="1">
      <c r="C343" s="3"/>
      <c r="D343" s="3"/>
      <c r="E343" s="3"/>
      <c r="F343" s="3"/>
      <c r="G343" s="3"/>
    </row>
    <row r="344" ht="15.75" customHeight="1">
      <c r="C344" s="3"/>
      <c r="D344" s="3"/>
      <c r="E344" s="3"/>
      <c r="F344" s="3"/>
      <c r="G344" s="3"/>
    </row>
    <row r="345" ht="15.75" customHeight="1">
      <c r="C345" s="3"/>
      <c r="D345" s="3"/>
      <c r="E345" s="3"/>
      <c r="F345" s="3"/>
      <c r="G345" s="3"/>
    </row>
    <row r="346" ht="15.75" customHeight="1">
      <c r="C346" s="3"/>
      <c r="D346" s="3"/>
      <c r="E346" s="3"/>
      <c r="F346" s="3"/>
      <c r="G346" s="3"/>
    </row>
    <row r="347" ht="15.75" customHeight="1">
      <c r="C347" s="3"/>
      <c r="D347" s="3"/>
      <c r="E347" s="3"/>
      <c r="F347" s="3"/>
      <c r="G347" s="3"/>
    </row>
    <row r="348" ht="15.75" customHeight="1">
      <c r="C348" s="3"/>
      <c r="D348" s="3"/>
      <c r="E348" s="3"/>
      <c r="F348" s="3"/>
      <c r="G348" s="3"/>
    </row>
    <row r="349" ht="15.75" customHeight="1">
      <c r="C349" s="3"/>
      <c r="D349" s="3"/>
      <c r="E349" s="3"/>
      <c r="F349" s="3"/>
      <c r="G349" s="3"/>
    </row>
    <row r="350" ht="15.75" customHeight="1">
      <c r="C350" s="3"/>
      <c r="D350" s="3"/>
      <c r="E350" s="3"/>
      <c r="F350" s="3"/>
      <c r="G350" s="3"/>
    </row>
    <row r="351" ht="15.75" customHeight="1">
      <c r="C351" s="3"/>
      <c r="D351" s="3"/>
      <c r="E351" s="3"/>
      <c r="F351" s="3"/>
      <c r="G351" s="3"/>
    </row>
    <row r="352" ht="15.75" customHeight="1">
      <c r="C352" s="3"/>
      <c r="D352" s="3"/>
      <c r="E352" s="3"/>
      <c r="F352" s="3"/>
      <c r="G352" s="3"/>
    </row>
    <row r="353" ht="15.75" customHeight="1">
      <c r="C353" s="3"/>
      <c r="D353" s="3"/>
      <c r="E353" s="3"/>
      <c r="F353" s="3"/>
      <c r="G353" s="3"/>
    </row>
    <row r="354" ht="15.75" customHeight="1">
      <c r="C354" s="3"/>
      <c r="D354" s="3"/>
      <c r="E354" s="3"/>
      <c r="F354" s="3"/>
      <c r="G354" s="3"/>
    </row>
    <row r="355" ht="15.75" customHeight="1">
      <c r="C355" s="3"/>
      <c r="D355" s="3"/>
      <c r="E355" s="3"/>
      <c r="F355" s="3"/>
      <c r="G355" s="3"/>
    </row>
    <row r="356" ht="15.75" customHeight="1">
      <c r="C356" s="3"/>
      <c r="D356" s="3"/>
      <c r="E356" s="3"/>
      <c r="F356" s="3"/>
      <c r="G356" s="3"/>
    </row>
    <row r="357" ht="15.75" customHeight="1">
      <c r="C357" s="3"/>
      <c r="D357" s="3"/>
      <c r="E357" s="3"/>
      <c r="F357" s="3"/>
      <c r="G357" s="3"/>
    </row>
    <row r="358" ht="15.75" customHeight="1">
      <c r="C358" s="3"/>
      <c r="D358" s="3"/>
      <c r="E358" s="3"/>
      <c r="F358" s="3"/>
      <c r="G358" s="3"/>
    </row>
    <row r="359" ht="15.75" customHeight="1">
      <c r="C359" s="3"/>
      <c r="D359" s="3"/>
      <c r="E359" s="3"/>
      <c r="F359" s="3"/>
      <c r="G359" s="3"/>
    </row>
    <row r="360" ht="15.75" customHeight="1">
      <c r="C360" s="3"/>
      <c r="D360" s="3"/>
      <c r="E360" s="3"/>
      <c r="F360" s="3"/>
      <c r="G360" s="3"/>
    </row>
    <row r="361" ht="15.75" customHeight="1">
      <c r="C361" s="3"/>
      <c r="D361" s="3"/>
      <c r="E361" s="3"/>
      <c r="F361" s="3"/>
      <c r="G361" s="3"/>
    </row>
    <row r="362" ht="15.75" customHeight="1">
      <c r="C362" s="3"/>
      <c r="D362" s="3"/>
      <c r="E362" s="3"/>
      <c r="F362" s="3"/>
      <c r="G362" s="3"/>
    </row>
    <row r="363" ht="15.75" customHeight="1">
      <c r="C363" s="3"/>
      <c r="D363" s="3"/>
      <c r="E363" s="3"/>
      <c r="F363" s="3"/>
      <c r="G363" s="3"/>
    </row>
    <row r="364" ht="15.75" customHeight="1">
      <c r="C364" s="3"/>
      <c r="D364" s="3"/>
      <c r="E364" s="3"/>
      <c r="F364" s="3"/>
      <c r="G364" s="3"/>
    </row>
    <row r="365" ht="15.75" customHeight="1">
      <c r="C365" s="3"/>
      <c r="D365" s="3"/>
      <c r="E365" s="3"/>
      <c r="F365" s="3"/>
      <c r="G365" s="3"/>
    </row>
    <row r="366" ht="15.75" customHeight="1">
      <c r="C366" s="3"/>
      <c r="D366" s="3"/>
      <c r="E366" s="3"/>
      <c r="F366" s="3"/>
      <c r="G366" s="3"/>
    </row>
    <row r="367" ht="15.75" customHeight="1">
      <c r="C367" s="3"/>
      <c r="D367" s="3"/>
      <c r="E367" s="3"/>
      <c r="F367" s="3"/>
      <c r="G367" s="3"/>
    </row>
    <row r="368" ht="15.75" customHeight="1">
      <c r="C368" s="3"/>
      <c r="D368" s="3"/>
      <c r="E368" s="3"/>
      <c r="F368" s="3"/>
      <c r="G368" s="3"/>
    </row>
    <row r="369" ht="15.75" customHeight="1">
      <c r="C369" s="3"/>
      <c r="D369" s="3"/>
      <c r="E369" s="3"/>
      <c r="F369" s="3"/>
      <c r="G369" s="3"/>
    </row>
    <row r="370" ht="15.75" customHeight="1">
      <c r="C370" s="3"/>
      <c r="D370" s="3"/>
      <c r="E370" s="3"/>
      <c r="F370" s="3"/>
      <c r="G370" s="3"/>
    </row>
    <row r="371" ht="15.75" customHeight="1">
      <c r="C371" s="3"/>
      <c r="D371" s="3"/>
      <c r="E371" s="3"/>
      <c r="F371" s="3"/>
      <c r="G371" s="3"/>
    </row>
    <row r="372" ht="15.75" customHeight="1">
      <c r="C372" s="3"/>
      <c r="D372" s="3"/>
      <c r="E372" s="3"/>
      <c r="F372" s="3"/>
      <c r="G372" s="3"/>
    </row>
    <row r="373" ht="15.75" customHeight="1">
      <c r="C373" s="3"/>
      <c r="D373" s="3"/>
      <c r="E373" s="3"/>
      <c r="F373" s="3"/>
      <c r="G373" s="3"/>
    </row>
    <row r="374" ht="15.75" customHeight="1">
      <c r="C374" s="3"/>
      <c r="D374" s="3"/>
      <c r="E374" s="3"/>
      <c r="F374" s="3"/>
      <c r="G374" s="3"/>
    </row>
    <row r="375" ht="15.75" customHeight="1">
      <c r="C375" s="3"/>
      <c r="D375" s="3"/>
      <c r="E375" s="3"/>
      <c r="F375" s="3"/>
      <c r="G375" s="3"/>
    </row>
    <row r="376" ht="15.75" customHeight="1">
      <c r="C376" s="3"/>
      <c r="D376" s="3"/>
      <c r="E376" s="3"/>
      <c r="F376" s="3"/>
      <c r="G376" s="3"/>
    </row>
    <row r="377" ht="15.75" customHeight="1">
      <c r="C377" s="3"/>
      <c r="D377" s="3"/>
      <c r="E377" s="3"/>
      <c r="F377" s="3"/>
      <c r="G377" s="3"/>
    </row>
    <row r="378" ht="15.75" customHeight="1">
      <c r="C378" s="3"/>
      <c r="D378" s="3"/>
      <c r="E378" s="3"/>
      <c r="F378" s="3"/>
      <c r="G378" s="3"/>
    </row>
    <row r="379" ht="15.75" customHeight="1">
      <c r="C379" s="3"/>
      <c r="D379" s="3"/>
      <c r="E379" s="3"/>
      <c r="F379" s="3"/>
      <c r="G379" s="3"/>
    </row>
    <row r="380" ht="15.75" customHeight="1">
      <c r="C380" s="3"/>
      <c r="D380" s="3"/>
      <c r="E380" s="3"/>
      <c r="F380" s="3"/>
      <c r="G380" s="3"/>
    </row>
    <row r="381" ht="15.75" customHeight="1">
      <c r="C381" s="3"/>
      <c r="D381" s="3"/>
      <c r="E381" s="3"/>
      <c r="F381" s="3"/>
      <c r="G381" s="3"/>
    </row>
    <row r="382" ht="15.75" customHeight="1">
      <c r="C382" s="3"/>
      <c r="D382" s="3"/>
      <c r="E382" s="3"/>
      <c r="F382" s="3"/>
      <c r="G382" s="3"/>
    </row>
    <row r="383" ht="15.75" customHeight="1">
      <c r="C383" s="3"/>
      <c r="D383" s="3"/>
      <c r="E383" s="3"/>
      <c r="F383" s="3"/>
      <c r="G383" s="3"/>
    </row>
    <row r="384" ht="15.75" customHeight="1">
      <c r="C384" s="3"/>
      <c r="D384" s="3"/>
      <c r="E384" s="3"/>
      <c r="F384" s="3"/>
      <c r="G384" s="3"/>
    </row>
    <row r="385" ht="15.75" customHeight="1">
      <c r="C385" s="3"/>
      <c r="D385" s="3"/>
      <c r="E385" s="3"/>
      <c r="F385" s="3"/>
      <c r="G385" s="3"/>
    </row>
    <row r="386" ht="15.75" customHeight="1">
      <c r="C386" s="3"/>
      <c r="D386" s="3"/>
      <c r="E386" s="3"/>
      <c r="F386" s="3"/>
      <c r="G386" s="3"/>
    </row>
    <row r="387" ht="15.75" customHeight="1">
      <c r="C387" s="3"/>
      <c r="D387" s="3"/>
      <c r="E387" s="3"/>
      <c r="F387" s="3"/>
      <c r="G387" s="3"/>
    </row>
    <row r="388" ht="15.75" customHeight="1">
      <c r="C388" s="3"/>
      <c r="D388" s="3"/>
      <c r="E388" s="3"/>
      <c r="F388" s="3"/>
      <c r="G388" s="3"/>
    </row>
    <row r="389" ht="15.75" customHeight="1">
      <c r="C389" s="3"/>
      <c r="D389" s="3"/>
      <c r="E389" s="3"/>
      <c r="F389" s="3"/>
      <c r="G389" s="3"/>
    </row>
    <row r="390" ht="15.75" customHeight="1">
      <c r="C390" s="3"/>
      <c r="D390" s="3"/>
      <c r="E390" s="3"/>
      <c r="F390" s="3"/>
      <c r="G390" s="3"/>
    </row>
    <row r="391" ht="15.75" customHeight="1">
      <c r="C391" s="3"/>
      <c r="D391" s="3"/>
      <c r="E391" s="3"/>
      <c r="F391" s="3"/>
      <c r="G391" s="3"/>
    </row>
    <row r="392" ht="15.75" customHeight="1">
      <c r="C392" s="3"/>
      <c r="D392" s="3"/>
      <c r="E392" s="3"/>
      <c r="F392" s="3"/>
      <c r="G392" s="3"/>
    </row>
    <row r="393" ht="15.75" customHeight="1">
      <c r="C393" s="3"/>
      <c r="D393" s="3"/>
      <c r="E393" s="3"/>
      <c r="F393" s="3"/>
      <c r="G393" s="3"/>
    </row>
    <row r="394" ht="15.75" customHeight="1">
      <c r="C394" s="3"/>
      <c r="D394" s="3"/>
      <c r="E394" s="3"/>
      <c r="F394" s="3"/>
      <c r="G394" s="3"/>
    </row>
    <row r="395" ht="15.75" customHeight="1">
      <c r="C395" s="3"/>
      <c r="D395" s="3"/>
      <c r="E395" s="3"/>
      <c r="F395" s="3"/>
      <c r="G395" s="3"/>
    </row>
    <row r="396" ht="15.75" customHeight="1">
      <c r="C396" s="3"/>
      <c r="D396" s="3"/>
      <c r="E396" s="3"/>
      <c r="F396" s="3"/>
      <c r="G396" s="3"/>
    </row>
    <row r="397" ht="15.75" customHeight="1">
      <c r="C397" s="3"/>
      <c r="D397" s="3"/>
      <c r="E397" s="3"/>
      <c r="F397" s="3"/>
      <c r="G397" s="3"/>
    </row>
    <row r="398" ht="15.75" customHeight="1">
      <c r="C398" s="3"/>
      <c r="D398" s="3"/>
      <c r="E398" s="3"/>
      <c r="F398" s="3"/>
      <c r="G398" s="3"/>
    </row>
    <row r="399" ht="15.75" customHeight="1">
      <c r="C399" s="3"/>
      <c r="D399" s="3"/>
      <c r="E399" s="3"/>
      <c r="F399" s="3"/>
      <c r="G399" s="3"/>
    </row>
    <row r="400" ht="15.75" customHeight="1">
      <c r="C400" s="3"/>
      <c r="D400" s="3"/>
      <c r="E400" s="3"/>
      <c r="F400" s="3"/>
      <c r="G400" s="3"/>
    </row>
    <row r="401" ht="15.75" customHeight="1">
      <c r="C401" s="3"/>
      <c r="D401" s="3"/>
      <c r="E401" s="3"/>
      <c r="F401" s="3"/>
      <c r="G401" s="3"/>
    </row>
    <row r="402" ht="15.75" customHeight="1">
      <c r="C402" s="3"/>
      <c r="D402" s="3"/>
      <c r="E402" s="3"/>
      <c r="F402" s="3"/>
      <c r="G402" s="3"/>
    </row>
    <row r="403" ht="15.75" customHeight="1">
      <c r="C403" s="3"/>
      <c r="D403" s="3"/>
      <c r="E403" s="3"/>
      <c r="F403" s="3"/>
      <c r="G403" s="3"/>
    </row>
    <row r="404" ht="15.75" customHeight="1">
      <c r="C404" s="3"/>
      <c r="D404" s="3"/>
      <c r="E404" s="3"/>
      <c r="F404" s="3"/>
      <c r="G404" s="3"/>
    </row>
    <row r="405" ht="15.75" customHeight="1">
      <c r="C405" s="3"/>
      <c r="D405" s="3"/>
      <c r="E405" s="3"/>
      <c r="F405" s="3"/>
      <c r="G405" s="3"/>
    </row>
    <row r="406" ht="15.75" customHeight="1">
      <c r="C406" s="3"/>
      <c r="D406" s="3"/>
      <c r="E406" s="3"/>
      <c r="F406" s="3"/>
      <c r="G406" s="3"/>
    </row>
    <row r="407" ht="15.75" customHeight="1">
      <c r="C407" s="3"/>
      <c r="D407" s="3"/>
      <c r="E407" s="3"/>
      <c r="F407" s="3"/>
      <c r="G407" s="3"/>
    </row>
    <row r="408" ht="15.75" customHeight="1">
      <c r="C408" s="3"/>
      <c r="D408" s="3"/>
      <c r="E408" s="3"/>
      <c r="F408" s="3"/>
      <c r="G408" s="3"/>
    </row>
    <row r="409" ht="15.75" customHeight="1">
      <c r="C409" s="3"/>
      <c r="D409" s="3"/>
      <c r="E409" s="3"/>
      <c r="F409" s="3"/>
      <c r="G409" s="3"/>
    </row>
    <row r="410" ht="15.75" customHeight="1">
      <c r="C410" s="3"/>
      <c r="D410" s="3"/>
      <c r="E410" s="3"/>
      <c r="F410" s="3"/>
      <c r="G410" s="3"/>
    </row>
    <row r="411" ht="15.75" customHeight="1">
      <c r="C411" s="3"/>
      <c r="D411" s="3"/>
      <c r="E411" s="3"/>
      <c r="F411" s="3"/>
      <c r="G411" s="3"/>
    </row>
    <row r="412" ht="15.75" customHeight="1">
      <c r="C412" s="3"/>
      <c r="D412" s="3"/>
      <c r="E412" s="3"/>
      <c r="F412" s="3"/>
      <c r="G412" s="3"/>
    </row>
    <row r="413" ht="15.75" customHeight="1">
      <c r="C413" s="3"/>
      <c r="D413" s="3"/>
      <c r="E413" s="3"/>
      <c r="F413" s="3"/>
      <c r="G413" s="3"/>
    </row>
    <row r="414" ht="15.75" customHeight="1">
      <c r="C414" s="3"/>
      <c r="D414" s="3"/>
      <c r="E414" s="3"/>
      <c r="F414" s="3"/>
      <c r="G414" s="3"/>
    </row>
    <row r="415" ht="15.75" customHeight="1">
      <c r="C415" s="3"/>
      <c r="D415" s="3"/>
      <c r="E415" s="3"/>
      <c r="F415" s="3"/>
      <c r="G415" s="3"/>
    </row>
    <row r="416" ht="15.75" customHeight="1">
      <c r="C416" s="3"/>
      <c r="D416" s="3"/>
      <c r="E416" s="3"/>
      <c r="F416" s="3"/>
      <c r="G416" s="3"/>
    </row>
    <row r="417" ht="15.75" customHeight="1">
      <c r="C417" s="3"/>
      <c r="D417" s="3"/>
      <c r="E417" s="3"/>
      <c r="F417" s="3"/>
      <c r="G417" s="3"/>
    </row>
    <row r="418" ht="15.75" customHeight="1">
      <c r="C418" s="3"/>
      <c r="D418" s="3"/>
      <c r="E418" s="3"/>
      <c r="F418" s="3"/>
      <c r="G418" s="3"/>
    </row>
    <row r="419" ht="15.75" customHeight="1">
      <c r="C419" s="3"/>
      <c r="D419" s="3"/>
      <c r="E419" s="3"/>
      <c r="F419" s="3"/>
      <c r="G419" s="3"/>
    </row>
    <row r="420" ht="15.75" customHeight="1">
      <c r="C420" s="3"/>
      <c r="D420" s="3"/>
      <c r="E420" s="3"/>
      <c r="F420" s="3"/>
      <c r="G420" s="3"/>
    </row>
    <row r="421" ht="15.75" customHeight="1">
      <c r="C421" s="3"/>
      <c r="D421" s="3"/>
      <c r="E421" s="3"/>
      <c r="F421" s="3"/>
      <c r="G421" s="3"/>
    </row>
    <row r="422" ht="15.75" customHeight="1">
      <c r="C422" s="3"/>
      <c r="D422" s="3"/>
      <c r="E422" s="3"/>
      <c r="F422" s="3"/>
      <c r="G422" s="3"/>
    </row>
    <row r="423" ht="15.75" customHeight="1">
      <c r="C423" s="3"/>
      <c r="D423" s="3"/>
      <c r="E423" s="3"/>
      <c r="F423" s="3"/>
      <c r="G423" s="3"/>
    </row>
    <row r="424" ht="15.75" customHeight="1">
      <c r="C424" s="3"/>
      <c r="D424" s="3"/>
      <c r="E424" s="3"/>
      <c r="F424" s="3"/>
      <c r="G424" s="3"/>
    </row>
    <row r="425" ht="15.75" customHeight="1">
      <c r="C425" s="3"/>
      <c r="D425" s="3"/>
      <c r="E425" s="3"/>
      <c r="F425" s="3"/>
      <c r="G425" s="3"/>
    </row>
    <row r="426" ht="15.75" customHeight="1">
      <c r="C426" s="3"/>
      <c r="D426" s="3"/>
      <c r="E426" s="3"/>
      <c r="F426" s="3"/>
      <c r="G426" s="3"/>
    </row>
    <row r="427" ht="15.75" customHeight="1">
      <c r="C427" s="3"/>
      <c r="D427" s="3"/>
      <c r="E427" s="3"/>
      <c r="F427" s="3"/>
      <c r="G427" s="3"/>
    </row>
    <row r="428" ht="15.75" customHeight="1">
      <c r="C428" s="3"/>
      <c r="D428" s="3"/>
      <c r="E428" s="3"/>
      <c r="F428" s="3"/>
      <c r="G428" s="3"/>
    </row>
    <row r="429" ht="15.75" customHeight="1">
      <c r="C429" s="3"/>
      <c r="D429" s="3"/>
      <c r="E429" s="3"/>
      <c r="F429" s="3"/>
      <c r="G429" s="3"/>
    </row>
    <row r="430" ht="15.75" customHeight="1">
      <c r="C430" s="3"/>
      <c r="D430" s="3"/>
      <c r="E430" s="3"/>
      <c r="F430" s="3"/>
      <c r="G430" s="3"/>
    </row>
    <row r="431" ht="15.75" customHeight="1">
      <c r="C431" s="3"/>
      <c r="D431" s="3"/>
      <c r="E431" s="3"/>
      <c r="F431" s="3"/>
      <c r="G431" s="3"/>
    </row>
    <row r="432" ht="15.75" customHeight="1">
      <c r="C432" s="3"/>
      <c r="D432" s="3"/>
      <c r="E432" s="3"/>
      <c r="F432" s="3"/>
      <c r="G432" s="3"/>
    </row>
    <row r="433" ht="15.75" customHeight="1">
      <c r="C433" s="3"/>
      <c r="D433" s="3"/>
      <c r="E433" s="3"/>
      <c r="F433" s="3"/>
      <c r="G433" s="3"/>
    </row>
    <row r="434" ht="15.75" customHeight="1">
      <c r="C434" s="3"/>
      <c r="D434" s="3"/>
      <c r="E434" s="3"/>
      <c r="F434" s="3"/>
      <c r="G434" s="3"/>
    </row>
    <row r="435" ht="15.75" customHeight="1">
      <c r="C435" s="3"/>
      <c r="D435" s="3"/>
      <c r="E435" s="3"/>
      <c r="F435" s="3"/>
      <c r="G435" s="3"/>
    </row>
    <row r="436" ht="15.75" customHeight="1">
      <c r="C436" s="3"/>
      <c r="D436" s="3"/>
      <c r="E436" s="3"/>
      <c r="F436" s="3"/>
      <c r="G436" s="3"/>
    </row>
    <row r="437" ht="15.75" customHeight="1">
      <c r="C437" s="3"/>
      <c r="D437" s="3"/>
      <c r="E437" s="3"/>
      <c r="F437" s="3"/>
      <c r="G437" s="3"/>
    </row>
    <row r="438" ht="15.75" customHeight="1">
      <c r="C438" s="3"/>
      <c r="D438" s="3"/>
      <c r="E438" s="3"/>
      <c r="F438" s="3"/>
      <c r="G438" s="3"/>
    </row>
    <row r="439" ht="15.75" customHeight="1">
      <c r="C439" s="3"/>
      <c r="D439" s="3"/>
      <c r="E439" s="3"/>
      <c r="F439" s="3"/>
      <c r="G439" s="3"/>
    </row>
    <row r="440" ht="15.75" customHeight="1">
      <c r="C440" s="3"/>
      <c r="D440" s="3"/>
      <c r="E440" s="3"/>
      <c r="F440" s="3"/>
      <c r="G440" s="3"/>
    </row>
    <row r="441" ht="15.75" customHeight="1">
      <c r="C441" s="3"/>
      <c r="D441" s="3"/>
      <c r="E441" s="3"/>
      <c r="F441" s="3"/>
      <c r="G441" s="3"/>
    </row>
    <row r="442" ht="15.75" customHeight="1">
      <c r="C442" s="3"/>
      <c r="D442" s="3"/>
      <c r="E442" s="3"/>
      <c r="F442" s="3"/>
      <c r="G442" s="3"/>
    </row>
    <row r="443" ht="15.75" customHeight="1">
      <c r="C443" s="3"/>
      <c r="D443" s="3"/>
      <c r="E443" s="3"/>
      <c r="F443" s="3"/>
      <c r="G443" s="3"/>
    </row>
    <row r="444" ht="15.75" customHeight="1">
      <c r="C444" s="3"/>
      <c r="D444" s="3"/>
      <c r="E444" s="3"/>
      <c r="F444" s="3"/>
      <c r="G444" s="3"/>
    </row>
    <row r="445" ht="15.75" customHeight="1">
      <c r="C445" s="3"/>
      <c r="D445" s="3"/>
      <c r="E445" s="3"/>
      <c r="F445" s="3"/>
      <c r="G445" s="3"/>
    </row>
    <row r="446" ht="15.75" customHeight="1">
      <c r="C446" s="3"/>
      <c r="D446" s="3"/>
      <c r="E446" s="3"/>
      <c r="F446" s="3"/>
      <c r="G446" s="3"/>
    </row>
    <row r="447" ht="15.75" customHeight="1">
      <c r="C447" s="3"/>
      <c r="D447" s="3"/>
      <c r="E447" s="3"/>
      <c r="F447" s="3"/>
      <c r="G447" s="3"/>
    </row>
    <row r="448" ht="15.75" customHeight="1">
      <c r="C448" s="3"/>
      <c r="D448" s="3"/>
      <c r="E448" s="3"/>
      <c r="F448" s="3"/>
      <c r="G448" s="3"/>
    </row>
    <row r="449" ht="15.75" customHeight="1">
      <c r="C449" s="3"/>
      <c r="D449" s="3"/>
      <c r="E449" s="3"/>
      <c r="F449" s="3"/>
      <c r="G449" s="3"/>
    </row>
    <row r="450" ht="15.75" customHeight="1">
      <c r="C450" s="3"/>
      <c r="D450" s="3"/>
      <c r="E450" s="3"/>
      <c r="F450" s="3"/>
      <c r="G450" s="3"/>
    </row>
    <row r="451" ht="15.75" customHeight="1">
      <c r="C451" s="3"/>
      <c r="D451" s="3"/>
      <c r="E451" s="3"/>
      <c r="F451" s="3"/>
      <c r="G451" s="3"/>
    </row>
    <row r="452" ht="15.75" customHeight="1">
      <c r="C452" s="3"/>
      <c r="D452" s="3"/>
      <c r="E452" s="3"/>
      <c r="F452" s="3"/>
      <c r="G452" s="3"/>
    </row>
    <row r="453" ht="15.75" customHeight="1">
      <c r="C453" s="3"/>
      <c r="D453" s="3"/>
      <c r="E453" s="3"/>
      <c r="F453" s="3"/>
      <c r="G453" s="3"/>
    </row>
    <row r="454" ht="15.75" customHeight="1">
      <c r="C454" s="3"/>
      <c r="D454" s="3"/>
      <c r="E454" s="3"/>
      <c r="F454" s="3"/>
      <c r="G454" s="3"/>
    </row>
    <row r="455" ht="15.75" customHeight="1">
      <c r="C455" s="3"/>
      <c r="D455" s="3"/>
      <c r="E455" s="3"/>
      <c r="F455" s="3"/>
      <c r="G455" s="3"/>
    </row>
    <row r="456" ht="15.75" customHeight="1">
      <c r="C456" s="3"/>
      <c r="D456" s="3"/>
      <c r="E456" s="3"/>
      <c r="F456" s="3"/>
      <c r="G456" s="3"/>
    </row>
    <row r="457" ht="15.75" customHeight="1">
      <c r="C457" s="3"/>
      <c r="D457" s="3"/>
      <c r="E457" s="3"/>
      <c r="F457" s="3"/>
      <c r="G457" s="3"/>
    </row>
    <row r="458" ht="15.75" customHeight="1">
      <c r="C458" s="3"/>
      <c r="D458" s="3"/>
      <c r="E458" s="3"/>
      <c r="F458" s="3"/>
      <c r="G458" s="3"/>
    </row>
    <row r="459" ht="15.75" customHeight="1">
      <c r="C459" s="3"/>
      <c r="D459" s="3"/>
      <c r="E459" s="3"/>
      <c r="F459" s="3"/>
      <c r="G459" s="3"/>
    </row>
    <row r="460" ht="15.75" customHeight="1">
      <c r="C460" s="3"/>
      <c r="D460" s="3"/>
      <c r="E460" s="3"/>
      <c r="F460" s="3"/>
      <c r="G460" s="3"/>
    </row>
    <row r="461" ht="15.75" customHeight="1">
      <c r="C461" s="3"/>
      <c r="D461" s="3"/>
      <c r="E461" s="3"/>
      <c r="F461" s="3"/>
      <c r="G461" s="3"/>
    </row>
    <row r="462" ht="15.75" customHeight="1">
      <c r="C462" s="3"/>
      <c r="D462" s="3"/>
      <c r="E462" s="3"/>
      <c r="F462" s="3"/>
      <c r="G462" s="3"/>
    </row>
    <row r="463" ht="15.75" customHeight="1">
      <c r="C463" s="3"/>
      <c r="D463" s="3"/>
      <c r="E463" s="3"/>
      <c r="F463" s="3"/>
      <c r="G463" s="3"/>
    </row>
    <row r="464" ht="15.75" customHeight="1">
      <c r="C464" s="3"/>
      <c r="D464" s="3"/>
      <c r="E464" s="3"/>
      <c r="F464" s="3"/>
      <c r="G464" s="3"/>
    </row>
    <row r="465" ht="15.75" customHeight="1">
      <c r="C465" s="3"/>
      <c r="D465" s="3"/>
      <c r="E465" s="3"/>
      <c r="F465" s="3"/>
      <c r="G465" s="3"/>
    </row>
    <row r="466" ht="15.75" customHeight="1">
      <c r="C466" s="3"/>
      <c r="D466" s="3"/>
      <c r="E466" s="3"/>
      <c r="F466" s="3"/>
      <c r="G466" s="3"/>
    </row>
    <row r="467" ht="15.75" customHeight="1">
      <c r="C467" s="3"/>
      <c r="D467" s="3"/>
      <c r="E467" s="3"/>
      <c r="F467" s="3"/>
      <c r="G467" s="3"/>
    </row>
    <row r="468" ht="15.75" customHeight="1">
      <c r="C468" s="3"/>
      <c r="D468" s="3"/>
      <c r="E468" s="3"/>
      <c r="F468" s="3"/>
      <c r="G468" s="3"/>
    </row>
    <row r="469" ht="15.75" customHeight="1">
      <c r="C469" s="3"/>
      <c r="D469" s="3"/>
      <c r="E469" s="3"/>
      <c r="F469" s="3"/>
      <c r="G469" s="3"/>
    </row>
    <row r="470" ht="15.75" customHeight="1">
      <c r="C470" s="3"/>
      <c r="D470" s="3"/>
      <c r="E470" s="3"/>
      <c r="F470" s="3"/>
      <c r="G470" s="3"/>
    </row>
    <row r="471" ht="15.75" customHeight="1">
      <c r="C471" s="3"/>
      <c r="D471" s="3"/>
      <c r="E471" s="3"/>
      <c r="F471" s="3"/>
      <c r="G471" s="3"/>
    </row>
    <row r="472" ht="15.75" customHeight="1">
      <c r="C472" s="3"/>
      <c r="D472" s="3"/>
      <c r="E472" s="3"/>
      <c r="F472" s="3"/>
      <c r="G472" s="3"/>
    </row>
    <row r="473" ht="15.75" customHeight="1">
      <c r="C473" s="3"/>
      <c r="D473" s="3"/>
      <c r="E473" s="3"/>
      <c r="F473" s="3"/>
      <c r="G473" s="3"/>
    </row>
    <row r="474" ht="15.75" customHeight="1">
      <c r="C474" s="3"/>
      <c r="D474" s="3"/>
      <c r="E474" s="3"/>
      <c r="F474" s="3"/>
      <c r="G474" s="3"/>
    </row>
    <row r="475" ht="15.75" customHeight="1">
      <c r="C475" s="3"/>
      <c r="D475" s="3"/>
      <c r="E475" s="3"/>
      <c r="F475" s="3"/>
      <c r="G475" s="3"/>
    </row>
    <row r="476" ht="15.75" customHeight="1">
      <c r="C476" s="3"/>
      <c r="D476" s="3"/>
      <c r="E476" s="3"/>
      <c r="F476" s="3"/>
      <c r="G476" s="3"/>
    </row>
    <row r="477" ht="15.75" customHeight="1">
      <c r="C477" s="3"/>
      <c r="D477" s="3"/>
      <c r="E477" s="3"/>
      <c r="F477" s="3"/>
      <c r="G477" s="3"/>
    </row>
    <row r="478" ht="15.75" customHeight="1">
      <c r="C478" s="3"/>
      <c r="D478" s="3"/>
      <c r="E478" s="3"/>
      <c r="F478" s="3"/>
      <c r="G478" s="3"/>
    </row>
    <row r="479" ht="15.75" customHeight="1">
      <c r="C479" s="3"/>
      <c r="D479" s="3"/>
      <c r="E479" s="3"/>
      <c r="F479" s="3"/>
      <c r="G479" s="3"/>
    </row>
    <row r="480" ht="15.75" customHeight="1">
      <c r="C480" s="3"/>
      <c r="D480" s="3"/>
      <c r="E480" s="3"/>
      <c r="F480" s="3"/>
      <c r="G480" s="3"/>
    </row>
    <row r="481" ht="15.75" customHeight="1">
      <c r="C481" s="3"/>
      <c r="D481" s="3"/>
      <c r="E481" s="3"/>
      <c r="F481" s="3"/>
      <c r="G481" s="3"/>
    </row>
    <row r="482" ht="15.75" customHeight="1">
      <c r="C482" s="3"/>
      <c r="D482" s="3"/>
      <c r="E482" s="3"/>
      <c r="F482" s="3"/>
      <c r="G482" s="3"/>
    </row>
    <row r="483" ht="15.75" customHeight="1">
      <c r="C483" s="3"/>
      <c r="D483" s="3"/>
      <c r="E483" s="3"/>
      <c r="F483" s="3"/>
      <c r="G483" s="3"/>
    </row>
    <row r="484" ht="15.75" customHeight="1">
      <c r="C484" s="3"/>
      <c r="D484" s="3"/>
      <c r="E484" s="3"/>
      <c r="F484" s="3"/>
      <c r="G484" s="3"/>
    </row>
    <row r="485" ht="15.75" customHeight="1">
      <c r="C485" s="3"/>
      <c r="D485" s="3"/>
      <c r="E485" s="3"/>
      <c r="F485" s="3"/>
      <c r="G485" s="3"/>
    </row>
    <row r="486" ht="15.75" customHeight="1">
      <c r="C486" s="3"/>
      <c r="D486" s="3"/>
      <c r="E486" s="3"/>
      <c r="F486" s="3"/>
      <c r="G486" s="3"/>
    </row>
    <row r="487" ht="15.75" customHeight="1">
      <c r="C487" s="3"/>
      <c r="D487" s="3"/>
      <c r="E487" s="3"/>
      <c r="F487" s="3"/>
      <c r="G487" s="3"/>
    </row>
    <row r="488" ht="15.75" customHeight="1">
      <c r="C488" s="3"/>
      <c r="D488" s="3"/>
      <c r="E488" s="3"/>
      <c r="F488" s="3"/>
      <c r="G488" s="3"/>
    </row>
    <row r="489" ht="15.75" customHeight="1">
      <c r="C489" s="3"/>
      <c r="D489" s="3"/>
      <c r="E489" s="3"/>
      <c r="F489" s="3"/>
      <c r="G489" s="3"/>
    </row>
    <row r="490" ht="15.75" customHeight="1">
      <c r="C490" s="3"/>
      <c r="D490" s="3"/>
      <c r="E490" s="3"/>
      <c r="F490" s="3"/>
      <c r="G490" s="3"/>
    </row>
    <row r="491" ht="15.75" customHeight="1">
      <c r="C491" s="3"/>
      <c r="D491" s="3"/>
      <c r="E491" s="3"/>
      <c r="F491" s="3"/>
      <c r="G491" s="3"/>
    </row>
    <row r="492" ht="15.75" customHeight="1">
      <c r="C492" s="3"/>
      <c r="D492" s="3"/>
      <c r="E492" s="3"/>
      <c r="F492" s="3"/>
      <c r="G492" s="3"/>
    </row>
    <row r="493" ht="15.75" customHeight="1">
      <c r="C493" s="3"/>
      <c r="D493" s="3"/>
      <c r="E493" s="3"/>
      <c r="F493" s="3"/>
      <c r="G493" s="3"/>
    </row>
    <row r="494" ht="15.75" customHeight="1">
      <c r="C494" s="3"/>
      <c r="D494" s="3"/>
      <c r="E494" s="3"/>
      <c r="F494" s="3"/>
      <c r="G494" s="3"/>
    </row>
    <row r="495" ht="15.75" customHeight="1">
      <c r="C495" s="3"/>
      <c r="D495" s="3"/>
      <c r="E495" s="3"/>
      <c r="F495" s="3"/>
      <c r="G495" s="3"/>
    </row>
    <row r="496" ht="15.75" customHeight="1">
      <c r="C496" s="3"/>
      <c r="D496" s="3"/>
      <c r="E496" s="3"/>
      <c r="F496" s="3"/>
      <c r="G496" s="3"/>
    </row>
    <row r="497" ht="15.75" customHeight="1">
      <c r="C497" s="3"/>
      <c r="D497" s="3"/>
      <c r="E497" s="3"/>
      <c r="F497" s="3"/>
      <c r="G497" s="3"/>
    </row>
    <row r="498" ht="15.75" customHeight="1">
      <c r="C498" s="3"/>
      <c r="D498" s="3"/>
      <c r="E498" s="3"/>
      <c r="F498" s="3"/>
      <c r="G498" s="3"/>
    </row>
    <row r="499" ht="15.75" customHeight="1">
      <c r="C499" s="3"/>
      <c r="D499" s="3"/>
      <c r="E499" s="3"/>
      <c r="F499" s="3"/>
      <c r="G499" s="3"/>
    </row>
    <row r="500" ht="15.75" customHeight="1">
      <c r="C500" s="3"/>
      <c r="D500" s="3"/>
      <c r="E500" s="3"/>
      <c r="F500" s="3"/>
      <c r="G500" s="3"/>
    </row>
    <row r="501" ht="15.75" customHeight="1">
      <c r="C501" s="3"/>
      <c r="D501" s="3"/>
      <c r="E501" s="3"/>
      <c r="F501" s="3"/>
      <c r="G501" s="3"/>
    </row>
    <row r="502" ht="15.75" customHeight="1">
      <c r="C502" s="3"/>
      <c r="D502" s="3"/>
      <c r="E502" s="3"/>
      <c r="F502" s="3"/>
      <c r="G502" s="3"/>
    </row>
    <row r="503" ht="15.75" customHeight="1">
      <c r="C503" s="3"/>
      <c r="D503" s="3"/>
      <c r="E503" s="3"/>
      <c r="F503" s="3"/>
      <c r="G503" s="3"/>
    </row>
    <row r="504" ht="15.75" customHeight="1">
      <c r="C504" s="3"/>
      <c r="D504" s="3"/>
      <c r="E504" s="3"/>
      <c r="F504" s="3"/>
      <c r="G504" s="3"/>
    </row>
    <row r="505" ht="15.75" customHeight="1">
      <c r="C505" s="3"/>
      <c r="D505" s="3"/>
      <c r="E505" s="3"/>
      <c r="F505" s="3"/>
      <c r="G505" s="3"/>
    </row>
    <row r="506" ht="15.75" customHeight="1">
      <c r="C506" s="3"/>
      <c r="D506" s="3"/>
      <c r="E506" s="3"/>
      <c r="F506" s="3"/>
      <c r="G506" s="3"/>
    </row>
    <row r="507" ht="15.75" customHeight="1">
      <c r="C507" s="3"/>
      <c r="D507" s="3"/>
      <c r="E507" s="3"/>
      <c r="F507" s="3"/>
      <c r="G507" s="3"/>
    </row>
    <row r="508" ht="15.75" customHeight="1">
      <c r="C508" s="3"/>
      <c r="D508" s="3"/>
      <c r="E508" s="3"/>
      <c r="F508" s="3"/>
      <c r="G508" s="3"/>
    </row>
    <row r="509" ht="15.75" customHeight="1">
      <c r="C509" s="3"/>
      <c r="D509" s="3"/>
      <c r="E509" s="3"/>
      <c r="F509" s="3"/>
      <c r="G509" s="3"/>
    </row>
    <row r="510" ht="15.75" customHeight="1">
      <c r="C510" s="3"/>
      <c r="D510" s="3"/>
      <c r="E510" s="3"/>
      <c r="F510" s="3"/>
      <c r="G510" s="3"/>
    </row>
    <row r="511" ht="15.75" customHeight="1">
      <c r="C511" s="3"/>
      <c r="D511" s="3"/>
      <c r="E511" s="3"/>
      <c r="F511" s="3"/>
      <c r="G511" s="3"/>
    </row>
    <row r="512" ht="15.75" customHeight="1">
      <c r="C512" s="3"/>
      <c r="D512" s="3"/>
      <c r="E512" s="3"/>
      <c r="F512" s="3"/>
      <c r="G512" s="3"/>
    </row>
    <row r="513" ht="15.75" customHeight="1">
      <c r="C513" s="3"/>
      <c r="D513" s="3"/>
      <c r="E513" s="3"/>
      <c r="F513" s="3"/>
      <c r="G513" s="3"/>
    </row>
    <row r="514" ht="15.75" customHeight="1">
      <c r="C514" s="3"/>
      <c r="D514" s="3"/>
      <c r="E514" s="3"/>
      <c r="F514" s="3"/>
      <c r="G514" s="3"/>
    </row>
    <row r="515" ht="15.75" customHeight="1">
      <c r="C515" s="3"/>
      <c r="D515" s="3"/>
      <c r="E515" s="3"/>
      <c r="F515" s="3"/>
      <c r="G515" s="3"/>
    </row>
    <row r="516" ht="15.75" customHeight="1">
      <c r="C516" s="3"/>
      <c r="D516" s="3"/>
      <c r="E516" s="3"/>
      <c r="F516" s="3"/>
      <c r="G516" s="3"/>
    </row>
    <row r="517" ht="15.75" customHeight="1">
      <c r="C517" s="3"/>
      <c r="D517" s="3"/>
      <c r="E517" s="3"/>
      <c r="F517" s="3"/>
      <c r="G517" s="3"/>
    </row>
    <row r="518" ht="15.75" customHeight="1">
      <c r="C518" s="3"/>
      <c r="D518" s="3"/>
      <c r="E518" s="3"/>
      <c r="F518" s="3"/>
      <c r="G518" s="3"/>
    </row>
    <row r="519" ht="15.75" customHeight="1">
      <c r="C519" s="3"/>
      <c r="D519" s="3"/>
      <c r="E519" s="3"/>
      <c r="F519" s="3"/>
      <c r="G519" s="3"/>
    </row>
    <row r="520" ht="15.75" customHeight="1">
      <c r="C520" s="3"/>
      <c r="D520" s="3"/>
      <c r="E520" s="3"/>
      <c r="F520" s="3"/>
      <c r="G520" s="3"/>
    </row>
    <row r="521" ht="15.75" customHeight="1">
      <c r="C521" s="3"/>
      <c r="D521" s="3"/>
      <c r="E521" s="3"/>
      <c r="F521" s="3"/>
      <c r="G521" s="3"/>
    </row>
    <row r="522" ht="15.75" customHeight="1">
      <c r="C522" s="3"/>
      <c r="D522" s="3"/>
      <c r="E522" s="3"/>
      <c r="F522" s="3"/>
      <c r="G522" s="3"/>
    </row>
    <row r="523" ht="15.75" customHeight="1">
      <c r="C523" s="3"/>
      <c r="D523" s="3"/>
      <c r="E523" s="3"/>
      <c r="F523" s="3"/>
      <c r="G523" s="3"/>
    </row>
    <row r="524" ht="15.75" customHeight="1">
      <c r="C524" s="3"/>
      <c r="D524" s="3"/>
      <c r="E524" s="3"/>
      <c r="F524" s="3"/>
      <c r="G524" s="3"/>
    </row>
    <row r="525" ht="15.75" customHeight="1">
      <c r="C525" s="3"/>
      <c r="D525" s="3"/>
      <c r="E525" s="3"/>
      <c r="F525" s="3"/>
      <c r="G525" s="3"/>
    </row>
    <row r="526" ht="15.75" customHeight="1">
      <c r="C526" s="3"/>
      <c r="D526" s="3"/>
      <c r="E526" s="3"/>
      <c r="F526" s="3"/>
      <c r="G526" s="3"/>
    </row>
    <row r="527" ht="15.75" customHeight="1">
      <c r="C527" s="3"/>
      <c r="D527" s="3"/>
      <c r="E527" s="3"/>
      <c r="F527" s="3"/>
      <c r="G527" s="3"/>
    </row>
    <row r="528" ht="15.75" customHeight="1">
      <c r="C528" s="3"/>
      <c r="D528" s="3"/>
      <c r="E528" s="3"/>
      <c r="F528" s="3"/>
      <c r="G528" s="3"/>
    </row>
    <row r="529" ht="15.75" customHeight="1">
      <c r="C529" s="3"/>
      <c r="D529" s="3"/>
      <c r="E529" s="3"/>
      <c r="F529" s="3"/>
      <c r="G529" s="3"/>
    </row>
    <row r="530" ht="15.75" customHeight="1">
      <c r="C530" s="3"/>
      <c r="D530" s="3"/>
      <c r="E530" s="3"/>
      <c r="F530" s="3"/>
      <c r="G530" s="3"/>
    </row>
    <row r="531" ht="15.75" customHeight="1">
      <c r="C531" s="3"/>
      <c r="D531" s="3"/>
      <c r="E531" s="3"/>
      <c r="F531" s="3"/>
      <c r="G531" s="3"/>
    </row>
    <row r="532" ht="15.75" customHeight="1">
      <c r="C532" s="3"/>
      <c r="D532" s="3"/>
      <c r="E532" s="3"/>
      <c r="F532" s="3"/>
      <c r="G532" s="3"/>
    </row>
    <row r="533" ht="15.75" customHeight="1">
      <c r="C533" s="3"/>
      <c r="D533" s="3"/>
      <c r="E533" s="3"/>
      <c r="F533" s="3"/>
      <c r="G533" s="3"/>
    </row>
    <row r="534" ht="15.75" customHeight="1">
      <c r="C534" s="3"/>
      <c r="D534" s="3"/>
      <c r="E534" s="3"/>
      <c r="F534" s="3"/>
      <c r="G534" s="3"/>
    </row>
    <row r="535" ht="15.75" customHeight="1">
      <c r="C535" s="3"/>
      <c r="D535" s="3"/>
      <c r="E535" s="3"/>
      <c r="F535" s="3"/>
      <c r="G535" s="3"/>
    </row>
    <row r="536" ht="15.75" customHeight="1">
      <c r="C536" s="3"/>
      <c r="D536" s="3"/>
      <c r="E536" s="3"/>
      <c r="F536" s="3"/>
      <c r="G536" s="3"/>
    </row>
    <row r="537" ht="15.75" customHeight="1">
      <c r="C537" s="3"/>
      <c r="D537" s="3"/>
      <c r="E537" s="3"/>
      <c r="F537" s="3"/>
      <c r="G537" s="3"/>
    </row>
    <row r="538" ht="15.75" customHeight="1">
      <c r="C538" s="3"/>
      <c r="D538" s="3"/>
      <c r="E538" s="3"/>
      <c r="F538" s="3"/>
      <c r="G538" s="3"/>
    </row>
    <row r="539" ht="15.75" customHeight="1">
      <c r="C539" s="3"/>
      <c r="D539" s="3"/>
      <c r="E539" s="3"/>
      <c r="F539" s="3"/>
      <c r="G539" s="3"/>
    </row>
    <row r="540" ht="15.75" customHeight="1">
      <c r="C540" s="3"/>
      <c r="D540" s="3"/>
      <c r="E540" s="3"/>
      <c r="F540" s="3"/>
      <c r="G540" s="3"/>
    </row>
    <row r="541" ht="15.75" customHeight="1">
      <c r="C541" s="3"/>
      <c r="D541" s="3"/>
      <c r="E541" s="3"/>
      <c r="F541" s="3"/>
      <c r="G541" s="3"/>
    </row>
    <row r="542" ht="15.75" customHeight="1">
      <c r="C542" s="3"/>
      <c r="D542" s="3"/>
      <c r="E542" s="3"/>
      <c r="F542" s="3"/>
      <c r="G542" s="3"/>
    </row>
    <row r="543" ht="15.75" customHeight="1">
      <c r="C543" s="3"/>
      <c r="D543" s="3"/>
      <c r="E543" s="3"/>
      <c r="F543" s="3"/>
      <c r="G543" s="3"/>
    </row>
    <row r="544" ht="15.75" customHeight="1">
      <c r="C544" s="3"/>
      <c r="D544" s="3"/>
      <c r="E544" s="3"/>
      <c r="F544" s="3"/>
      <c r="G544" s="3"/>
    </row>
    <row r="545" ht="15.75" customHeight="1">
      <c r="C545" s="3"/>
      <c r="D545" s="3"/>
      <c r="E545" s="3"/>
      <c r="F545" s="3"/>
      <c r="G545" s="3"/>
    </row>
    <row r="546" ht="15.75" customHeight="1">
      <c r="C546" s="3"/>
      <c r="D546" s="3"/>
      <c r="E546" s="3"/>
      <c r="F546" s="3"/>
      <c r="G546" s="3"/>
    </row>
    <row r="547" ht="15.75" customHeight="1">
      <c r="C547" s="3"/>
      <c r="D547" s="3"/>
      <c r="E547" s="3"/>
      <c r="F547" s="3"/>
      <c r="G547" s="3"/>
    </row>
    <row r="548" ht="15.75" customHeight="1">
      <c r="C548" s="3"/>
      <c r="D548" s="3"/>
      <c r="E548" s="3"/>
      <c r="F548" s="3"/>
      <c r="G548" s="3"/>
    </row>
    <row r="549" ht="15.75" customHeight="1">
      <c r="C549" s="3"/>
      <c r="D549" s="3"/>
      <c r="E549" s="3"/>
      <c r="F549" s="3"/>
      <c r="G549" s="3"/>
    </row>
    <row r="550" ht="15.75" customHeight="1">
      <c r="C550" s="3"/>
      <c r="D550" s="3"/>
      <c r="E550" s="3"/>
      <c r="F550" s="3"/>
      <c r="G550" s="3"/>
    </row>
    <row r="551" ht="15.75" customHeight="1">
      <c r="C551" s="3"/>
      <c r="D551" s="3"/>
      <c r="E551" s="3"/>
      <c r="F551" s="3"/>
      <c r="G551" s="3"/>
    </row>
    <row r="552" ht="15.75" customHeight="1">
      <c r="C552" s="3"/>
      <c r="D552" s="3"/>
      <c r="E552" s="3"/>
      <c r="F552" s="3"/>
      <c r="G552" s="3"/>
    </row>
    <row r="553" ht="15.75" customHeight="1">
      <c r="C553" s="3"/>
      <c r="D553" s="3"/>
      <c r="E553" s="3"/>
      <c r="F553" s="3"/>
      <c r="G553" s="3"/>
    </row>
    <row r="554" ht="15.75" customHeight="1">
      <c r="C554" s="3"/>
      <c r="D554" s="3"/>
      <c r="E554" s="3"/>
      <c r="F554" s="3"/>
      <c r="G554" s="3"/>
    </row>
    <row r="555" ht="15.75" customHeight="1">
      <c r="C555" s="3"/>
      <c r="D555" s="3"/>
      <c r="E555" s="3"/>
      <c r="F555" s="3"/>
      <c r="G555" s="3"/>
    </row>
    <row r="556" ht="15.75" customHeight="1">
      <c r="C556" s="3"/>
      <c r="D556" s="3"/>
      <c r="E556" s="3"/>
      <c r="F556" s="3"/>
      <c r="G556" s="3"/>
    </row>
    <row r="557" ht="15.75" customHeight="1">
      <c r="C557" s="3"/>
      <c r="D557" s="3"/>
      <c r="E557" s="3"/>
      <c r="F557" s="3"/>
      <c r="G557" s="3"/>
    </row>
    <row r="558" ht="15.75" customHeight="1">
      <c r="C558" s="3"/>
      <c r="D558" s="3"/>
      <c r="E558" s="3"/>
      <c r="F558" s="3"/>
      <c r="G558" s="3"/>
    </row>
    <row r="559" ht="15.75" customHeight="1">
      <c r="C559" s="3"/>
      <c r="D559" s="3"/>
      <c r="E559" s="3"/>
      <c r="F559" s="3"/>
      <c r="G559" s="3"/>
    </row>
    <row r="560" ht="15.75" customHeight="1">
      <c r="C560" s="3"/>
      <c r="D560" s="3"/>
      <c r="E560" s="3"/>
      <c r="F560" s="3"/>
      <c r="G560" s="3"/>
    </row>
    <row r="561" ht="15.75" customHeight="1">
      <c r="C561" s="3"/>
      <c r="D561" s="3"/>
      <c r="E561" s="3"/>
      <c r="F561" s="3"/>
      <c r="G561" s="3"/>
    </row>
    <row r="562" ht="15.75" customHeight="1">
      <c r="C562" s="3"/>
      <c r="D562" s="3"/>
      <c r="E562" s="3"/>
      <c r="F562" s="3"/>
      <c r="G562" s="3"/>
    </row>
    <row r="563" ht="15.75" customHeight="1">
      <c r="C563" s="3"/>
      <c r="D563" s="3"/>
      <c r="E563" s="3"/>
      <c r="F563" s="3"/>
      <c r="G563" s="3"/>
    </row>
    <row r="564" ht="15.75" customHeight="1">
      <c r="C564" s="3"/>
      <c r="D564" s="3"/>
      <c r="E564" s="3"/>
      <c r="F564" s="3"/>
      <c r="G564" s="3"/>
    </row>
    <row r="565" ht="15.75" customHeight="1">
      <c r="C565" s="3"/>
      <c r="D565" s="3"/>
      <c r="E565" s="3"/>
      <c r="F565" s="3"/>
      <c r="G565" s="3"/>
    </row>
    <row r="566" ht="15.75" customHeight="1">
      <c r="C566" s="3"/>
      <c r="D566" s="3"/>
      <c r="E566" s="3"/>
      <c r="F566" s="3"/>
      <c r="G566" s="3"/>
    </row>
    <row r="567" ht="15.75" customHeight="1">
      <c r="C567" s="3"/>
      <c r="D567" s="3"/>
      <c r="E567" s="3"/>
      <c r="F567" s="3"/>
      <c r="G567" s="3"/>
    </row>
    <row r="568" ht="15.75" customHeight="1">
      <c r="C568" s="3"/>
      <c r="D568" s="3"/>
      <c r="E568" s="3"/>
      <c r="F568" s="3"/>
      <c r="G568" s="3"/>
    </row>
    <row r="569" ht="15.75" customHeight="1">
      <c r="C569" s="3"/>
      <c r="D569" s="3"/>
      <c r="E569" s="3"/>
      <c r="F569" s="3"/>
      <c r="G569" s="3"/>
    </row>
    <row r="570" ht="15.75" customHeight="1">
      <c r="C570" s="3"/>
      <c r="D570" s="3"/>
      <c r="E570" s="3"/>
      <c r="F570" s="3"/>
      <c r="G570" s="3"/>
    </row>
    <row r="571" ht="15.75" customHeight="1">
      <c r="C571" s="3"/>
      <c r="D571" s="3"/>
      <c r="E571" s="3"/>
      <c r="F571" s="3"/>
      <c r="G571" s="3"/>
    </row>
    <row r="572" ht="15.75" customHeight="1">
      <c r="C572" s="3"/>
      <c r="D572" s="3"/>
      <c r="E572" s="3"/>
      <c r="F572" s="3"/>
      <c r="G572" s="3"/>
    </row>
    <row r="573" ht="15.75" customHeight="1">
      <c r="C573" s="3"/>
      <c r="D573" s="3"/>
      <c r="E573" s="3"/>
      <c r="F573" s="3"/>
      <c r="G573" s="3"/>
    </row>
    <row r="574" ht="15.75" customHeight="1">
      <c r="C574" s="3"/>
      <c r="D574" s="3"/>
      <c r="E574" s="3"/>
      <c r="F574" s="3"/>
      <c r="G574" s="3"/>
    </row>
    <row r="575" ht="15.75" customHeight="1">
      <c r="C575" s="3"/>
      <c r="D575" s="3"/>
      <c r="E575" s="3"/>
      <c r="F575" s="3"/>
      <c r="G575" s="3"/>
    </row>
    <row r="576" ht="15.75" customHeight="1">
      <c r="C576" s="3"/>
      <c r="D576" s="3"/>
      <c r="E576" s="3"/>
      <c r="F576" s="3"/>
      <c r="G576" s="3"/>
    </row>
    <row r="577" ht="15.75" customHeight="1">
      <c r="C577" s="3"/>
      <c r="D577" s="3"/>
      <c r="E577" s="3"/>
      <c r="F577" s="3"/>
      <c r="G577" s="3"/>
    </row>
    <row r="578" ht="15.75" customHeight="1">
      <c r="C578" s="3"/>
      <c r="D578" s="3"/>
      <c r="E578" s="3"/>
      <c r="F578" s="3"/>
      <c r="G578" s="3"/>
    </row>
    <row r="579" ht="15.75" customHeight="1">
      <c r="C579" s="3"/>
      <c r="D579" s="3"/>
      <c r="E579" s="3"/>
      <c r="F579" s="3"/>
      <c r="G579" s="3"/>
    </row>
    <row r="580" ht="15.75" customHeight="1">
      <c r="C580" s="3"/>
      <c r="D580" s="3"/>
      <c r="E580" s="3"/>
      <c r="F580" s="3"/>
      <c r="G580" s="3"/>
    </row>
    <row r="581" ht="15.75" customHeight="1">
      <c r="C581" s="3"/>
      <c r="D581" s="3"/>
      <c r="E581" s="3"/>
      <c r="F581" s="3"/>
      <c r="G581" s="3"/>
    </row>
    <row r="582" ht="15.75" customHeight="1">
      <c r="C582" s="3"/>
      <c r="D582" s="3"/>
      <c r="E582" s="3"/>
      <c r="F582" s="3"/>
      <c r="G582" s="3"/>
    </row>
    <row r="583" ht="15.75" customHeight="1">
      <c r="C583" s="3"/>
      <c r="D583" s="3"/>
      <c r="E583" s="3"/>
      <c r="F583" s="3"/>
      <c r="G583" s="3"/>
    </row>
    <row r="584" ht="15.75" customHeight="1">
      <c r="C584" s="3"/>
      <c r="D584" s="3"/>
      <c r="E584" s="3"/>
      <c r="F584" s="3"/>
      <c r="G584" s="3"/>
    </row>
    <row r="585" ht="15.75" customHeight="1">
      <c r="C585" s="3"/>
      <c r="D585" s="3"/>
      <c r="E585" s="3"/>
      <c r="F585" s="3"/>
      <c r="G585" s="3"/>
    </row>
    <row r="586" ht="15.75" customHeight="1">
      <c r="C586" s="3"/>
      <c r="D586" s="3"/>
      <c r="E586" s="3"/>
      <c r="F586" s="3"/>
      <c r="G586" s="3"/>
    </row>
    <row r="587" ht="15.75" customHeight="1">
      <c r="C587" s="3"/>
      <c r="D587" s="3"/>
      <c r="E587" s="3"/>
      <c r="F587" s="3"/>
      <c r="G587" s="3"/>
    </row>
    <row r="588" ht="15.75" customHeight="1">
      <c r="C588" s="3"/>
      <c r="D588" s="3"/>
      <c r="E588" s="3"/>
      <c r="F588" s="3"/>
      <c r="G588" s="3"/>
    </row>
    <row r="589" ht="15.75" customHeight="1">
      <c r="C589" s="3"/>
      <c r="D589" s="3"/>
      <c r="E589" s="3"/>
      <c r="F589" s="3"/>
      <c r="G589" s="3"/>
    </row>
    <row r="590" ht="15.75" customHeight="1">
      <c r="C590" s="3"/>
      <c r="D590" s="3"/>
      <c r="E590" s="3"/>
      <c r="F590" s="3"/>
      <c r="G590" s="3"/>
    </row>
    <row r="591" ht="15.75" customHeight="1">
      <c r="C591" s="3"/>
      <c r="D591" s="3"/>
      <c r="E591" s="3"/>
      <c r="F591" s="3"/>
      <c r="G591" s="3"/>
    </row>
    <row r="592" ht="15.75" customHeight="1">
      <c r="C592" s="3"/>
      <c r="D592" s="3"/>
      <c r="E592" s="3"/>
      <c r="F592" s="3"/>
      <c r="G592" s="3"/>
    </row>
    <row r="593" ht="15.75" customHeight="1">
      <c r="C593" s="3"/>
      <c r="D593" s="3"/>
      <c r="E593" s="3"/>
      <c r="F593" s="3"/>
      <c r="G593" s="3"/>
    </row>
    <row r="594" ht="15.75" customHeight="1">
      <c r="C594" s="3"/>
      <c r="D594" s="3"/>
      <c r="E594" s="3"/>
      <c r="F594" s="3"/>
      <c r="G594" s="3"/>
    </row>
    <row r="595" ht="15.75" customHeight="1">
      <c r="C595" s="3"/>
      <c r="D595" s="3"/>
      <c r="E595" s="3"/>
      <c r="F595" s="3"/>
      <c r="G595" s="3"/>
    </row>
    <row r="596" ht="15.75" customHeight="1">
      <c r="C596" s="3"/>
      <c r="D596" s="3"/>
      <c r="E596" s="3"/>
      <c r="F596" s="3"/>
      <c r="G596" s="3"/>
    </row>
    <row r="597" ht="15.75" customHeight="1">
      <c r="C597" s="3"/>
      <c r="D597" s="3"/>
      <c r="E597" s="3"/>
      <c r="F597" s="3"/>
      <c r="G597" s="3"/>
    </row>
    <row r="598" ht="15.75" customHeight="1">
      <c r="C598" s="3"/>
      <c r="D598" s="3"/>
      <c r="E598" s="3"/>
      <c r="F598" s="3"/>
      <c r="G598" s="3"/>
    </row>
    <row r="599" ht="15.75" customHeight="1">
      <c r="C599" s="3"/>
      <c r="D599" s="3"/>
      <c r="E599" s="3"/>
      <c r="F599" s="3"/>
      <c r="G599" s="3"/>
    </row>
    <row r="600" ht="15.75" customHeight="1">
      <c r="C600" s="3"/>
      <c r="D600" s="3"/>
      <c r="E600" s="3"/>
      <c r="F600" s="3"/>
      <c r="G600" s="3"/>
    </row>
    <row r="601" ht="15.75" customHeight="1">
      <c r="C601" s="3"/>
      <c r="D601" s="3"/>
      <c r="E601" s="3"/>
      <c r="F601" s="3"/>
      <c r="G601" s="3"/>
    </row>
    <row r="602" ht="15.75" customHeight="1">
      <c r="C602" s="3"/>
      <c r="D602" s="3"/>
      <c r="E602" s="3"/>
      <c r="F602" s="3"/>
      <c r="G602" s="3"/>
    </row>
    <row r="603" ht="15.75" customHeight="1">
      <c r="C603" s="3"/>
      <c r="D603" s="3"/>
      <c r="E603" s="3"/>
      <c r="F603" s="3"/>
      <c r="G603" s="3"/>
    </row>
    <row r="604" ht="15.75" customHeight="1">
      <c r="C604" s="3"/>
      <c r="D604" s="3"/>
      <c r="E604" s="3"/>
      <c r="F604" s="3"/>
      <c r="G604" s="3"/>
    </row>
    <row r="605" ht="15.75" customHeight="1">
      <c r="C605" s="3"/>
      <c r="D605" s="3"/>
      <c r="E605" s="3"/>
      <c r="F605" s="3"/>
      <c r="G605" s="3"/>
    </row>
    <row r="606" ht="15.75" customHeight="1">
      <c r="C606" s="3"/>
      <c r="D606" s="3"/>
      <c r="E606" s="3"/>
      <c r="F606" s="3"/>
      <c r="G606" s="3"/>
    </row>
    <row r="607" ht="15.75" customHeight="1">
      <c r="C607" s="3"/>
      <c r="D607" s="3"/>
      <c r="E607" s="3"/>
      <c r="F607" s="3"/>
      <c r="G607" s="3"/>
    </row>
    <row r="608" ht="15.75" customHeight="1">
      <c r="C608" s="3"/>
      <c r="D608" s="3"/>
      <c r="E608" s="3"/>
      <c r="F608" s="3"/>
      <c r="G608" s="3"/>
    </row>
    <row r="609" ht="15.75" customHeight="1">
      <c r="C609" s="3"/>
      <c r="D609" s="3"/>
      <c r="E609" s="3"/>
      <c r="F609" s="3"/>
      <c r="G609" s="3"/>
    </row>
    <row r="610" ht="15.75" customHeight="1">
      <c r="C610" s="3"/>
      <c r="D610" s="3"/>
      <c r="E610" s="3"/>
      <c r="F610" s="3"/>
      <c r="G610" s="3"/>
    </row>
    <row r="611" ht="15.75" customHeight="1">
      <c r="C611" s="3"/>
      <c r="D611" s="3"/>
      <c r="E611" s="3"/>
      <c r="F611" s="3"/>
      <c r="G611" s="3"/>
    </row>
    <row r="612" ht="15.75" customHeight="1">
      <c r="C612" s="3"/>
      <c r="D612" s="3"/>
      <c r="E612" s="3"/>
      <c r="F612" s="3"/>
      <c r="G612" s="3"/>
    </row>
    <row r="613" ht="15.75" customHeight="1">
      <c r="C613" s="3"/>
      <c r="D613" s="3"/>
      <c r="E613" s="3"/>
      <c r="F613" s="3"/>
      <c r="G613" s="3"/>
    </row>
    <row r="614" ht="15.75" customHeight="1">
      <c r="C614" s="3"/>
      <c r="D614" s="3"/>
      <c r="E614" s="3"/>
      <c r="F614" s="3"/>
      <c r="G614" s="3"/>
    </row>
    <row r="615" ht="15.75" customHeight="1">
      <c r="C615" s="3"/>
      <c r="D615" s="3"/>
      <c r="E615" s="3"/>
      <c r="F615" s="3"/>
      <c r="G615" s="3"/>
    </row>
    <row r="616" ht="15.75" customHeight="1">
      <c r="C616" s="3"/>
      <c r="D616" s="3"/>
      <c r="E616" s="3"/>
      <c r="F616" s="3"/>
      <c r="G616" s="3"/>
    </row>
    <row r="617" ht="15.75" customHeight="1">
      <c r="C617" s="3"/>
      <c r="D617" s="3"/>
      <c r="E617" s="3"/>
      <c r="F617" s="3"/>
      <c r="G617" s="3"/>
    </row>
    <row r="618" ht="15.75" customHeight="1">
      <c r="C618" s="3"/>
      <c r="D618" s="3"/>
      <c r="E618" s="3"/>
      <c r="F618" s="3"/>
      <c r="G618" s="3"/>
    </row>
    <row r="619" ht="15.75" customHeight="1">
      <c r="C619" s="3"/>
      <c r="D619" s="3"/>
      <c r="E619" s="3"/>
      <c r="F619" s="3"/>
      <c r="G619" s="3"/>
    </row>
    <row r="620" ht="15.75" customHeight="1">
      <c r="C620" s="3"/>
      <c r="D620" s="3"/>
      <c r="E620" s="3"/>
      <c r="F620" s="3"/>
      <c r="G620" s="3"/>
    </row>
    <row r="621" ht="15.75" customHeight="1">
      <c r="C621" s="3"/>
      <c r="D621" s="3"/>
      <c r="E621" s="3"/>
      <c r="F621" s="3"/>
      <c r="G621" s="3"/>
    </row>
    <row r="622" ht="15.75" customHeight="1">
      <c r="C622" s="3"/>
      <c r="D622" s="3"/>
      <c r="E622" s="3"/>
      <c r="F622" s="3"/>
      <c r="G622" s="3"/>
    </row>
    <row r="623" ht="15.75" customHeight="1">
      <c r="C623" s="3"/>
      <c r="D623" s="3"/>
      <c r="E623" s="3"/>
      <c r="F623" s="3"/>
      <c r="G623" s="3"/>
    </row>
    <row r="624" ht="15.75" customHeight="1">
      <c r="C624" s="3"/>
      <c r="D624" s="3"/>
      <c r="E624" s="3"/>
      <c r="F624" s="3"/>
      <c r="G624" s="3"/>
    </row>
    <row r="625" ht="15.75" customHeight="1">
      <c r="C625" s="3"/>
      <c r="D625" s="3"/>
      <c r="E625" s="3"/>
      <c r="F625" s="3"/>
      <c r="G625" s="3"/>
    </row>
    <row r="626" ht="15.75" customHeight="1">
      <c r="C626" s="3"/>
      <c r="D626" s="3"/>
      <c r="E626" s="3"/>
      <c r="F626" s="3"/>
      <c r="G626" s="3"/>
    </row>
    <row r="627" ht="15.75" customHeight="1">
      <c r="C627" s="3"/>
      <c r="D627" s="3"/>
      <c r="E627" s="3"/>
      <c r="F627" s="3"/>
      <c r="G627" s="3"/>
    </row>
    <row r="628" ht="15.75" customHeight="1">
      <c r="C628" s="3"/>
      <c r="D628" s="3"/>
      <c r="E628" s="3"/>
      <c r="F628" s="3"/>
      <c r="G628" s="3"/>
    </row>
    <row r="629" ht="15.75" customHeight="1">
      <c r="C629" s="3"/>
      <c r="D629" s="3"/>
      <c r="E629" s="3"/>
      <c r="F629" s="3"/>
      <c r="G629" s="3"/>
    </row>
    <row r="630" ht="15.75" customHeight="1">
      <c r="C630" s="3"/>
      <c r="D630" s="3"/>
      <c r="E630" s="3"/>
      <c r="F630" s="3"/>
      <c r="G630" s="3"/>
    </row>
    <row r="631" ht="15.75" customHeight="1">
      <c r="C631" s="3"/>
      <c r="D631" s="3"/>
      <c r="E631" s="3"/>
      <c r="F631" s="3"/>
      <c r="G631" s="3"/>
    </row>
    <row r="632" ht="15.75" customHeight="1">
      <c r="C632" s="3"/>
      <c r="D632" s="3"/>
      <c r="E632" s="3"/>
      <c r="F632" s="3"/>
      <c r="G632" s="3"/>
    </row>
    <row r="633" ht="15.75" customHeight="1">
      <c r="C633" s="3"/>
      <c r="D633" s="3"/>
      <c r="E633" s="3"/>
      <c r="F633" s="3"/>
      <c r="G633" s="3"/>
    </row>
    <row r="634" ht="15.75" customHeight="1">
      <c r="C634" s="3"/>
      <c r="D634" s="3"/>
      <c r="E634" s="3"/>
      <c r="F634" s="3"/>
      <c r="G634" s="3"/>
    </row>
    <row r="635" ht="15.75" customHeight="1">
      <c r="C635" s="3"/>
      <c r="D635" s="3"/>
      <c r="E635" s="3"/>
      <c r="F635" s="3"/>
      <c r="G635" s="3"/>
    </row>
    <row r="636" ht="15.75" customHeight="1">
      <c r="C636" s="3"/>
      <c r="D636" s="3"/>
      <c r="E636" s="3"/>
      <c r="F636" s="3"/>
      <c r="G636" s="3"/>
    </row>
    <row r="637" ht="15.75" customHeight="1">
      <c r="C637" s="3"/>
      <c r="D637" s="3"/>
      <c r="E637" s="3"/>
      <c r="F637" s="3"/>
      <c r="G637" s="3"/>
    </row>
    <row r="638" ht="15.75" customHeight="1">
      <c r="C638" s="3"/>
      <c r="D638" s="3"/>
      <c r="E638" s="3"/>
      <c r="F638" s="3"/>
      <c r="G638" s="3"/>
    </row>
    <row r="639" ht="15.75" customHeight="1">
      <c r="C639" s="3"/>
      <c r="D639" s="3"/>
      <c r="E639" s="3"/>
      <c r="F639" s="3"/>
      <c r="G639" s="3"/>
    </row>
    <row r="640" ht="15.75" customHeight="1">
      <c r="C640" s="3"/>
      <c r="D640" s="3"/>
      <c r="E640" s="3"/>
      <c r="F640" s="3"/>
      <c r="G640" s="3"/>
    </row>
    <row r="641" ht="15.75" customHeight="1">
      <c r="C641" s="3"/>
      <c r="D641" s="3"/>
      <c r="E641" s="3"/>
      <c r="F641" s="3"/>
      <c r="G641" s="3"/>
    </row>
    <row r="642" ht="15.75" customHeight="1">
      <c r="C642" s="3"/>
      <c r="D642" s="3"/>
      <c r="E642" s="3"/>
      <c r="F642" s="3"/>
      <c r="G642" s="3"/>
    </row>
    <row r="643" ht="15.75" customHeight="1">
      <c r="C643" s="3"/>
      <c r="D643" s="3"/>
      <c r="E643" s="3"/>
      <c r="F643" s="3"/>
      <c r="G643" s="3"/>
    </row>
    <row r="644" ht="15.75" customHeight="1">
      <c r="C644" s="3"/>
      <c r="D644" s="3"/>
      <c r="E644" s="3"/>
      <c r="F644" s="3"/>
      <c r="G644" s="3"/>
    </row>
    <row r="645" ht="15.75" customHeight="1">
      <c r="C645" s="3"/>
      <c r="D645" s="3"/>
      <c r="E645" s="3"/>
      <c r="F645" s="3"/>
      <c r="G645" s="3"/>
    </row>
    <row r="646" ht="15.75" customHeight="1">
      <c r="C646" s="3"/>
      <c r="D646" s="3"/>
      <c r="E646" s="3"/>
      <c r="F646" s="3"/>
      <c r="G646" s="3"/>
    </row>
    <row r="647" ht="15.75" customHeight="1">
      <c r="C647" s="3"/>
      <c r="D647" s="3"/>
      <c r="E647" s="3"/>
      <c r="F647" s="3"/>
      <c r="G647" s="3"/>
    </row>
    <row r="648" ht="15.75" customHeight="1">
      <c r="C648" s="3"/>
      <c r="D648" s="3"/>
      <c r="E648" s="3"/>
      <c r="F648" s="3"/>
      <c r="G648" s="3"/>
    </row>
    <row r="649" ht="15.75" customHeight="1">
      <c r="C649" s="3"/>
      <c r="D649" s="3"/>
      <c r="E649" s="3"/>
      <c r="F649" s="3"/>
      <c r="G649" s="3"/>
    </row>
    <row r="650" ht="15.75" customHeight="1">
      <c r="C650" s="3"/>
      <c r="D650" s="3"/>
      <c r="E650" s="3"/>
      <c r="F650" s="3"/>
      <c r="G650" s="3"/>
    </row>
    <row r="651" ht="15.75" customHeight="1">
      <c r="C651" s="3"/>
      <c r="D651" s="3"/>
      <c r="E651" s="3"/>
      <c r="F651" s="3"/>
      <c r="G651" s="3"/>
    </row>
    <row r="652" ht="15.75" customHeight="1">
      <c r="C652" s="3"/>
      <c r="D652" s="3"/>
      <c r="E652" s="3"/>
      <c r="F652" s="3"/>
      <c r="G652" s="3"/>
    </row>
    <row r="653" ht="15.75" customHeight="1">
      <c r="C653" s="3"/>
      <c r="D653" s="3"/>
      <c r="E653" s="3"/>
      <c r="F653" s="3"/>
      <c r="G653" s="3"/>
    </row>
    <row r="654" ht="15.75" customHeight="1">
      <c r="C654" s="3"/>
      <c r="D654" s="3"/>
      <c r="E654" s="3"/>
      <c r="F654" s="3"/>
      <c r="G654" s="3"/>
    </row>
    <row r="655" ht="15.75" customHeight="1">
      <c r="C655" s="3"/>
      <c r="D655" s="3"/>
      <c r="E655" s="3"/>
      <c r="F655" s="3"/>
      <c r="G655" s="3"/>
    </row>
    <row r="656" ht="15.75" customHeight="1">
      <c r="C656" s="3"/>
      <c r="D656" s="3"/>
      <c r="E656" s="3"/>
      <c r="F656" s="3"/>
      <c r="G656" s="3"/>
    </row>
    <row r="657" ht="15.75" customHeight="1">
      <c r="C657" s="3"/>
      <c r="D657" s="3"/>
      <c r="E657" s="3"/>
      <c r="F657" s="3"/>
      <c r="G657" s="3"/>
    </row>
    <row r="658" ht="15.75" customHeight="1">
      <c r="C658" s="3"/>
      <c r="D658" s="3"/>
      <c r="E658" s="3"/>
      <c r="F658" s="3"/>
      <c r="G658" s="3"/>
    </row>
    <row r="659" ht="15.75" customHeight="1">
      <c r="C659" s="3"/>
      <c r="D659" s="3"/>
      <c r="E659" s="3"/>
      <c r="F659" s="3"/>
      <c r="G659" s="3"/>
    </row>
    <row r="660" ht="15.75" customHeight="1">
      <c r="C660" s="3"/>
      <c r="D660" s="3"/>
      <c r="E660" s="3"/>
      <c r="F660" s="3"/>
      <c r="G660" s="3"/>
    </row>
    <row r="661" ht="15.75" customHeight="1">
      <c r="C661" s="3"/>
      <c r="D661" s="3"/>
      <c r="E661" s="3"/>
      <c r="F661" s="3"/>
      <c r="G661" s="3"/>
    </row>
    <row r="662" ht="15.75" customHeight="1">
      <c r="C662" s="3"/>
      <c r="D662" s="3"/>
      <c r="E662" s="3"/>
      <c r="F662" s="3"/>
      <c r="G662" s="3"/>
    </row>
    <row r="663" ht="15.75" customHeight="1">
      <c r="C663" s="3"/>
      <c r="D663" s="3"/>
      <c r="E663" s="3"/>
      <c r="F663" s="3"/>
      <c r="G663" s="3"/>
    </row>
    <row r="664" ht="15.75" customHeight="1">
      <c r="C664" s="3"/>
      <c r="D664" s="3"/>
      <c r="E664" s="3"/>
      <c r="F664" s="3"/>
      <c r="G664" s="3"/>
    </row>
    <row r="665" ht="15.75" customHeight="1">
      <c r="C665" s="3"/>
      <c r="D665" s="3"/>
      <c r="E665" s="3"/>
      <c r="F665" s="3"/>
      <c r="G665" s="3"/>
    </row>
    <row r="666" ht="15.75" customHeight="1">
      <c r="C666" s="3"/>
      <c r="D666" s="3"/>
      <c r="E666" s="3"/>
      <c r="F666" s="3"/>
      <c r="G666" s="3"/>
    </row>
    <row r="667" ht="15.75" customHeight="1">
      <c r="C667" s="3"/>
      <c r="D667" s="3"/>
      <c r="E667" s="3"/>
      <c r="F667" s="3"/>
      <c r="G667" s="3"/>
    </row>
    <row r="668" ht="15.75" customHeight="1">
      <c r="C668" s="3"/>
      <c r="D668" s="3"/>
      <c r="E668" s="3"/>
      <c r="F668" s="3"/>
      <c r="G668" s="3"/>
    </row>
    <row r="669" ht="15.75" customHeight="1">
      <c r="C669" s="3"/>
      <c r="D669" s="3"/>
      <c r="E669" s="3"/>
      <c r="F669" s="3"/>
      <c r="G669" s="3"/>
    </row>
    <row r="670" ht="15.75" customHeight="1">
      <c r="C670" s="3"/>
      <c r="D670" s="3"/>
      <c r="E670" s="3"/>
      <c r="F670" s="3"/>
      <c r="G670" s="3"/>
    </row>
    <row r="671" ht="15.75" customHeight="1">
      <c r="C671" s="3"/>
      <c r="D671" s="3"/>
      <c r="E671" s="3"/>
      <c r="F671" s="3"/>
      <c r="G671" s="3"/>
    </row>
    <row r="672" ht="15.75" customHeight="1">
      <c r="C672" s="3"/>
      <c r="D672" s="3"/>
      <c r="E672" s="3"/>
      <c r="F672" s="3"/>
      <c r="G672" s="3"/>
    </row>
    <row r="673" ht="15.75" customHeight="1">
      <c r="C673" s="3"/>
      <c r="D673" s="3"/>
      <c r="E673" s="3"/>
      <c r="F673" s="3"/>
      <c r="G673" s="3"/>
    </row>
    <row r="674" ht="15.75" customHeight="1">
      <c r="C674" s="3"/>
      <c r="D674" s="3"/>
      <c r="E674" s="3"/>
      <c r="F674" s="3"/>
      <c r="G674" s="3"/>
    </row>
    <row r="675" ht="15.75" customHeight="1">
      <c r="C675" s="3"/>
      <c r="D675" s="3"/>
      <c r="E675" s="3"/>
      <c r="F675" s="3"/>
      <c r="G675" s="3"/>
    </row>
    <row r="676" ht="15.75" customHeight="1">
      <c r="C676" s="3"/>
      <c r="D676" s="3"/>
      <c r="E676" s="3"/>
      <c r="F676" s="3"/>
      <c r="G676" s="3"/>
    </row>
    <row r="677" ht="15.75" customHeight="1">
      <c r="C677" s="3"/>
      <c r="D677" s="3"/>
      <c r="E677" s="3"/>
      <c r="F677" s="3"/>
      <c r="G677" s="3"/>
    </row>
    <row r="678" ht="15.75" customHeight="1">
      <c r="C678" s="3"/>
      <c r="D678" s="3"/>
      <c r="E678" s="3"/>
      <c r="F678" s="3"/>
      <c r="G678" s="3"/>
    </row>
    <row r="679" ht="15.75" customHeight="1">
      <c r="C679" s="3"/>
      <c r="D679" s="3"/>
      <c r="E679" s="3"/>
      <c r="F679" s="3"/>
      <c r="G679" s="3"/>
    </row>
    <row r="680" ht="15.75" customHeight="1">
      <c r="C680" s="3"/>
      <c r="D680" s="3"/>
      <c r="E680" s="3"/>
      <c r="F680" s="3"/>
      <c r="G680" s="3"/>
    </row>
    <row r="681" ht="15.75" customHeight="1">
      <c r="C681" s="3"/>
      <c r="D681" s="3"/>
      <c r="E681" s="3"/>
      <c r="F681" s="3"/>
      <c r="G681" s="3"/>
    </row>
    <row r="682" ht="15.75" customHeight="1">
      <c r="C682" s="3"/>
      <c r="D682" s="3"/>
      <c r="E682" s="3"/>
      <c r="F682" s="3"/>
      <c r="G682" s="3"/>
    </row>
    <row r="683" ht="15.75" customHeight="1">
      <c r="C683" s="3"/>
      <c r="D683" s="3"/>
      <c r="E683" s="3"/>
      <c r="F683" s="3"/>
      <c r="G683" s="3"/>
    </row>
    <row r="684" ht="15.75" customHeight="1">
      <c r="C684" s="3"/>
      <c r="D684" s="3"/>
      <c r="E684" s="3"/>
      <c r="F684" s="3"/>
      <c r="G684" s="3"/>
    </row>
    <row r="685" ht="15.75" customHeight="1">
      <c r="C685" s="3"/>
      <c r="D685" s="3"/>
      <c r="E685" s="3"/>
      <c r="F685" s="3"/>
      <c r="G685" s="3"/>
    </row>
    <row r="686" ht="15.75" customHeight="1">
      <c r="C686" s="3"/>
      <c r="D686" s="3"/>
      <c r="E686" s="3"/>
      <c r="F686" s="3"/>
      <c r="G686" s="3"/>
    </row>
    <row r="687" ht="15.75" customHeight="1">
      <c r="C687" s="3"/>
      <c r="D687" s="3"/>
      <c r="E687" s="3"/>
      <c r="F687" s="3"/>
      <c r="G687" s="3"/>
    </row>
    <row r="688" ht="15.75" customHeight="1">
      <c r="C688" s="3"/>
      <c r="D688" s="3"/>
      <c r="E688" s="3"/>
      <c r="F688" s="3"/>
      <c r="G688" s="3"/>
    </row>
    <row r="689" ht="15.75" customHeight="1">
      <c r="C689" s="3"/>
      <c r="D689" s="3"/>
      <c r="E689" s="3"/>
      <c r="F689" s="3"/>
      <c r="G689" s="3"/>
    </row>
    <row r="690" ht="15.75" customHeight="1">
      <c r="C690" s="3"/>
      <c r="D690" s="3"/>
      <c r="E690" s="3"/>
      <c r="F690" s="3"/>
      <c r="G690" s="3"/>
    </row>
    <row r="691" ht="15.75" customHeight="1">
      <c r="C691" s="3"/>
      <c r="D691" s="3"/>
      <c r="E691" s="3"/>
      <c r="F691" s="3"/>
      <c r="G691" s="3"/>
    </row>
    <row r="692" ht="15.75" customHeight="1">
      <c r="C692" s="3"/>
      <c r="D692" s="3"/>
      <c r="E692" s="3"/>
      <c r="F692" s="3"/>
      <c r="G692" s="3"/>
    </row>
    <row r="693" ht="15.75" customHeight="1">
      <c r="C693" s="3"/>
      <c r="D693" s="3"/>
      <c r="E693" s="3"/>
      <c r="F693" s="3"/>
      <c r="G693" s="3"/>
    </row>
    <row r="694" ht="15.75" customHeight="1">
      <c r="C694" s="3"/>
      <c r="D694" s="3"/>
      <c r="E694" s="3"/>
      <c r="F694" s="3"/>
      <c r="G694" s="3"/>
    </row>
    <row r="695" ht="15.75" customHeight="1">
      <c r="C695" s="3"/>
      <c r="D695" s="3"/>
      <c r="E695" s="3"/>
      <c r="F695" s="3"/>
      <c r="G695" s="3"/>
    </row>
    <row r="696" ht="15.75" customHeight="1">
      <c r="C696" s="3"/>
      <c r="D696" s="3"/>
      <c r="E696" s="3"/>
      <c r="F696" s="3"/>
      <c r="G696" s="3"/>
    </row>
    <row r="697" ht="15.75" customHeight="1">
      <c r="C697" s="3"/>
      <c r="D697" s="3"/>
      <c r="E697" s="3"/>
      <c r="F697" s="3"/>
      <c r="G697" s="3"/>
    </row>
    <row r="698" ht="15.75" customHeight="1">
      <c r="C698" s="3"/>
      <c r="D698" s="3"/>
      <c r="E698" s="3"/>
      <c r="F698" s="3"/>
      <c r="G698" s="3"/>
    </row>
    <row r="699" ht="15.75" customHeight="1">
      <c r="C699" s="3"/>
      <c r="D699" s="3"/>
      <c r="E699" s="3"/>
      <c r="F699" s="3"/>
      <c r="G699" s="3"/>
    </row>
    <row r="700" ht="15.75" customHeight="1">
      <c r="C700" s="3"/>
      <c r="D700" s="3"/>
      <c r="E700" s="3"/>
      <c r="F700" s="3"/>
      <c r="G700" s="3"/>
    </row>
    <row r="701" ht="15.75" customHeight="1">
      <c r="C701" s="3"/>
      <c r="D701" s="3"/>
      <c r="E701" s="3"/>
      <c r="F701" s="3"/>
      <c r="G701" s="3"/>
    </row>
    <row r="702" ht="15.75" customHeight="1">
      <c r="C702" s="3"/>
      <c r="D702" s="3"/>
      <c r="E702" s="3"/>
      <c r="F702" s="3"/>
      <c r="G702" s="3"/>
    </row>
    <row r="703" ht="15.75" customHeight="1">
      <c r="C703" s="3"/>
      <c r="D703" s="3"/>
      <c r="E703" s="3"/>
      <c r="F703" s="3"/>
      <c r="G703" s="3"/>
    </row>
    <row r="704" ht="15.75" customHeight="1">
      <c r="C704" s="3"/>
      <c r="D704" s="3"/>
      <c r="E704" s="3"/>
      <c r="F704" s="3"/>
      <c r="G704" s="3"/>
    </row>
    <row r="705" ht="15.75" customHeight="1">
      <c r="C705" s="3"/>
      <c r="D705" s="3"/>
      <c r="E705" s="3"/>
      <c r="F705" s="3"/>
      <c r="G705" s="3"/>
    </row>
    <row r="706" ht="15.75" customHeight="1">
      <c r="C706" s="3"/>
      <c r="D706" s="3"/>
      <c r="E706" s="3"/>
      <c r="F706" s="3"/>
      <c r="G706" s="3"/>
    </row>
    <row r="707" ht="15.75" customHeight="1">
      <c r="C707" s="3"/>
      <c r="D707" s="3"/>
      <c r="E707" s="3"/>
      <c r="F707" s="3"/>
      <c r="G707" s="3"/>
    </row>
    <row r="708" ht="15.75" customHeight="1">
      <c r="C708" s="3"/>
      <c r="D708" s="3"/>
      <c r="E708" s="3"/>
      <c r="F708" s="3"/>
      <c r="G708" s="3"/>
    </row>
    <row r="709" ht="15.75" customHeight="1">
      <c r="C709" s="3"/>
      <c r="D709" s="3"/>
      <c r="E709" s="3"/>
      <c r="F709" s="3"/>
      <c r="G709" s="3"/>
    </row>
    <row r="710" ht="15.75" customHeight="1">
      <c r="C710" s="3"/>
      <c r="D710" s="3"/>
      <c r="E710" s="3"/>
      <c r="F710" s="3"/>
      <c r="G710" s="3"/>
    </row>
    <row r="711" ht="15.75" customHeight="1">
      <c r="C711" s="3"/>
      <c r="D711" s="3"/>
      <c r="E711" s="3"/>
      <c r="F711" s="3"/>
      <c r="G711" s="3"/>
    </row>
    <row r="712" ht="15.75" customHeight="1">
      <c r="C712" s="3"/>
      <c r="D712" s="3"/>
      <c r="E712" s="3"/>
      <c r="F712" s="3"/>
      <c r="G712" s="3"/>
    </row>
    <row r="713" ht="15.75" customHeight="1">
      <c r="C713" s="3"/>
      <c r="D713" s="3"/>
      <c r="E713" s="3"/>
      <c r="F713" s="3"/>
      <c r="G713" s="3"/>
    </row>
    <row r="714" ht="15.75" customHeight="1">
      <c r="C714" s="3"/>
      <c r="D714" s="3"/>
      <c r="E714" s="3"/>
      <c r="F714" s="3"/>
      <c r="G714" s="3"/>
    </row>
    <row r="715" ht="15.75" customHeight="1">
      <c r="C715" s="3"/>
      <c r="D715" s="3"/>
      <c r="E715" s="3"/>
      <c r="F715" s="3"/>
      <c r="G715" s="3"/>
    </row>
    <row r="716" ht="15.75" customHeight="1">
      <c r="C716" s="3"/>
      <c r="D716" s="3"/>
      <c r="E716" s="3"/>
      <c r="F716" s="3"/>
      <c r="G716" s="3"/>
    </row>
    <row r="717" ht="15.75" customHeight="1">
      <c r="C717" s="3"/>
      <c r="D717" s="3"/>
      <c r="E717" s="3"/>
      <c r="F717" s="3"/>
      <c r="G717" s="3"/>
    </row>
    <row r="718" ht="15.75" customHeight="1">
      <c r="C718" s="3"/>
      <c r="D718" s="3"/>
      <c r="E718" s="3"/>
      <c r="F718" s="3"/>
      <c r="G718" s="3"/>
    </row>
    <row r="719" ht="15.75" customHeight="1">
      <c r="C719" s="3"/>
      <c r="D719" s="3"/>
      <c r="E719" s="3"/>
      <c r="F719" s="3"/>
      <c r="G719" s="3"/>
    </row>
    <row r="720" ht="15.75" customHeight="1">
      <c r="C720" s="3"/>
      <c r="D720" s="3"/>
      <c r="E720" s="3"/>
      <c r="F720" s="3"/>
      <c r="G720" s="3"/>
    </row>
    <row r="721" ht="15.75" customHeight="1">
      <c r="C721" s="3"/>
      <c r="D721" s="3"/>
      <c r="E721" s="3"/>
      <c r="F721" s="3"/>
      <c r="G721" s="3"/>
    </row>
    <row r="722" ht="15.75" customHeight="1">
      <c r="C722" s="3"/>
      <c r="D722" s="3"/>
      <c r="E722" s="3"/>
      <c r="F722" s="3"/>
      <c r="G722" s="3"/>
    </row>
    <row r="723" ht="15.75" customHeight="1">
      <c r="C723" s="3"/>
      <c r="D723" s="3"/>
      <c r="E723" s="3"/>
      <c r="F723" s="3"/>
      <c r="G723" s="3"/>
    </row>
    <row r="724" ht="15.75" customHeight="1">
      <c r="C724" s="3"/>
      <c r="D724" s="3"/>
      <c r="E724" s="3"/>
      <c r="F724" s="3"/>
      <c r="G724" s="3"/>
    </row>
    <row r="725" ht="15.75" customHeight="1">
      <c r="C725" s="3"/>
      <c r="D725" s="3"/>
      <c r="E725" s="3"/>
      <c r="F725" s="3"/>
      <c r="G725" s="3"/>
    </row>
    <row r="726" ht="15.75" customHeight="1">
      <c r="C726" s="3"/>
      <c r="D726" s="3"/>
      <c r="E726" s="3"/>
      <c r="F726" s="3"/>
      <c r="G726" s="3"/>
    </row>
    <row r="727" ht="15.75" customHeight="1">
      <c r="C727" s="3"/>
      <c r="D727" s="3"/>
      <c r="E727" s="3"/>
      <c r="F727" s="3"/>
      <c r="G727" s="3"/>
    </row>
    <row r="728" ht="15.75" customHeight="1">
      <c r="C728" s="3"/>
      <c r="D728" s="3"/>
      <c r="E728" s="3"/>
      <c r="F728" s="3"/>
      <c r="G728" s="3"/>
    </row>
    <row r="729" ht="15.75" customHeight="1">
      <c r="C729" s="3"/>
      <c r="D729" s="3"/>
      <c r="E729" s="3"/>
      <c r="F729" s="3"/>
      <c r="G729" s="3"/>
    </row>
    <row r="730" ht="15.75" customHeight="1">
      <c r="C730" s="3"/>
      <c r="D730" s="3"/>
      <c r="E730" s="3"/>
      <c r="F730" s="3"/>
      <c r="G730" s="3"/>
    </row>
    <row r="731" ht="15.75" customHeight="1">
      <c r="C731" s="3"/>
      <c r="D731" s="3"/>
      <c r="E731" s="3"/>
      <c r="F731" s="3"/>
      <c r="G731" s="3"/>
    </row>
    <row r="732" ht="15.75" customHeight="1">
      <c r="C732" s="3"/>
      <c r="D732" s="3"/>
      <c r="E732" s="3"/>
      <c r="F732" s="3"/>
      <c r="G732" s="3"/>
    </row>
    <row r="733" ht="15.75" customHeight="1">
      <c r="C733" s="3"/>
      <c r="D733" s="3"/>
      <c r="E733" s="3"/>
      <c r="F733" s="3"/>
      <c r="G733" s="3"/>
    </row>
    <row r="734" ht="15.75" customHeight="1">
      <c r="C734" s="3"/>
      <c r="D734" s="3"/>
      <c r="E734" s="3"/>
      <c r="F734" s="3"/>
      <c r="G734" s="3"/>
    </row>
    <row r="735" ht="15.75" customHeight="1">
      <c r="C735" s="3"/>
      <c r="D735" s="3"/>
      <c r="E735" s="3"/>
      <c r="F735" s="3"/>
      <c r="G735" s="3"/>
    </row>
    <row r="736" ht="15.75" customHeight="1">
      <c r="C736" s="3"/>
      <c r="D736" s="3"/>
      <c r="E736" s="3"/>
      <c r="F736" s="3"/>
      <c r="G736" s="3"/>
    </row>
    <row r="737" ht="15.75" customHeight="1">
      <c r="C737" s="3"/>
      <c r="D737" s="3"/>
      <c r="E737" s="3"/>
      <c r="F737" s="3"/>
      <c r="G737" s="3"/>
    </row>
    <row r="738" ht="15.75" customHeight="1">
      <c r="C738" s="3"/>
      <c r="D738" s="3"/>
      <c r="E738" s="3"/>
      <c r="F738" s="3"/>
      <c r="G738" s="3"/>
    </row>
    <row r="739" ht="15.75" customHeight="1">
      <c r="C739" s="3"/>
      <c r="D739" s="3"/>
      <c r="E739" s="3"/>
      <c r="F739" s="3"/>
      <c r="G739" s="3"/>
    </row>
    <row r="740" ht="15.75" customHeight="1">
      <c r="C740" s="3"/>
      <c r="D740" s="3"/>
      <c r="E740" s="3"/>
      <c r="F740" s="3"/>
      <c r="G740" s="3"/>
    </row>
    <row r="741" ht="15.75" customHeight="1">
      <c r="C741" s="3"/>
      <c r="D741" s="3"/>
      <c r="E741" s="3"/>
      <c r="F741" s="3"/>
      <c r="G741" s="3"/>
    </row>
    <row r="742" ht="15.75" customHeight="1">
      <c r="C742" s="3"/>
      <c r="D742" s="3"/>
      <c r="E742" s="3"/>
      <c r="F742" s="3"/>
      <c r="G742" s="3"/>
    </row>
    <row r="743" ht="15.75" customHeight="1">
      <c r="C743" s="3"/>
      <c r="D743" s="3"/>
      <c r="E743" s="3"/>
      <c r="F743" s="3"/>
      <c r="G743" s="3"/>
    </row>
    <row r="744" ht="15.75" customHeight="1">
      <c r="C744" s="3"/>
      <c r="D744" s="3"/>
      <c r="E744" s="3"/>
      <c r="F744" s="3"/>
      <c r="G744" s="3"/>
    </row>
    <row r="745" ht="15.75" customHeight="1">
      <c r="C745" s="3"/>
      <c r="D745" s="3"/>
      <c r="E745" s="3"/>
      <c r="F745" s="3"/>
      <c r="G745" s="3"/>
    </row>
    <row r="746" ht="15.75" customHeight="1">
      <c r="C746" s="3"/>
      <c r="D746" s="3"/>
      <c r="E746" s="3"/>
      <c r="F746" s="3"/>
      <c r="G746" s="3"/>
    </row>
    <row r="747" ht="15.75" customHeight="1">
      <c r="C747" s="3"/>
      <c r="D747" s="3"/>
      <c r="E747" s="3"/>
      <c r="F747" s="3"/>
      <c r="G747" s="3"/>
    </row>
    <row r="748" ht="15.75" customHeight="1">
      <c r="C748" s="3"/>
      <c r="D748" s="3"/>
      <c r="E748" s="3"/>
      <c r="F748" s="3"/>
      <c r="G748" s="3"/>
    </row>
    <row r="749" ht="15.75" customHeight="1">
      <c r="C749" s="3"/>
      <c r="D749" s="3"/>
      <c r="E749" s="3"/>
      <c r="F749" s="3"/>
      <c r="G749" s="3"/>
    </row>
    <row r="750" ht="15.75" customHeight="1">
      <c r="C750" s="3"/>
      <c r="D750" s="3"/>
      <c r="E750" s="3"/>
      <c r="F750" s="3"/>
      <c r="G750" s="3"/>
    </row>
    <row r="751" ht="15.75" customHeight="1">
      <c r="C751" s="3"/>
      <c r="D751" s="3"/>
      <c r="E751" s="3"/>
      <c r="F751" s="3"/>
      <c r="G751" s="3"/>
    </row>
    <row r="752" ht="15.75" customHeight="1">
      <c r="C752" s="3"/>
      <c r="D752" s="3"/>
      <c r="E752" s="3"/>
      <c r="F752" s="3"/>
      <c r="G752" s="3"/>
    </row>
    <row r="753" ht="15.75" customHeight="1">
      <c r="C753" s="3"/>
      <c r="D753" s="3"/>
      <c r="E753" s="3"/>
      <c r="F753" s="3"/>
      <c r="G753" s="3"/>
    </row>
    <row r="754" ht="15.75" customHeight="1">
      <c r="C754" s="3"/>
      <c r="D754" s="3"/>
      <c r="E754" s="3"/>
      <c r="F754" s="3"/>
      <c r="G754" s="3"/>
    </row>
    <row r="755" ht="15.75" customHeight="1">
      <c r="C755" s="3"/>
      <c r="D755" s="3"/>
      <c r="E755" s="3"/>
      <c r="F755" s="3"/>
      <c r="G755" s="3"/>
    </row>
    <row r="756" ht="15.75" customHeight="1">
      <c r="C756" s="3"/>
      <c r="D756" s="3"/>
      <c r="E756" s="3"/>
      <c r="F756" s="3"/>
      <c r="G756" s="3"/>
    </row>
    <row r="757" ht="15.75" customHeight="1">
      <c r="C757" s="3"/>
      <c r="D757" s="3"/>
      <c r="E757" s="3"/>
      <c r="F757" s="3"/>
      <c r="G757" s="3"/>
    </row>
    <row r="758" ht="15.75" customHeight="1">
      <c r="C758" s="3"/>
      <c r="D758" s="3"/>
      <c r="E758" s="3"/>
      <c r="F758" s="3"/>
      <c r="G758" s="3"/>
    </row>
    <row r="759" ht="15.75" customHeight="1">
      <c r="C759" s="3"/>
      <c r="D759" s="3"/>
      <c r="E759" s="3"/>
      <c r="F759" s="3"/>
      <c r="G759" s="3"/>
    </row>
    <row r="760" ht="15.75" customHeight="1">
      <c r="C760" s="3"/>
      <c r="D760" s="3"/>
      <c r="E760" s="3"/>
      <c r="F760" s="3"/>
      <c r="G760" s="3"/>
    </row>
    <row r="761" ht="15.75" customHeight="1">
      <c r="C761" s="3"/>
      <c r="D761" s="3"/>
      <c r="E761" s="3"/>
      <c r="F761" s="3"/>
      <c r="G761" s="3"/>
    </row>
    <row r="762" ht="15.75" customHeight="1">
      <c r="C762" s="3"/>
      <c r="D762" s="3"/>
      <c r="E762" s="3"/>
      <c r="F762" s="3"/>
      <c r="G762" s="3"/>
    </row>
    <row r="763" ht="15.75" customHeight="1">
      <c r="C763" s="3"/>
      <c r="D763" s="3"/>
      <c r="E763" s="3"/>
      <c r="F763" s="3"/>
      <c r="G763" s="3"/>
    </row>
    <row r="764" ht="15.75" customHeight="1">
      <c r="C764" s="3"/>
      <c r="D764" s="3"/>
      <c r="E764" s="3"/>
      <c r="F764" s="3"/>
      <c r="G764" s="3"/>
    </row>
    <row r="765" ht="15.75" customHeight="1">
      <c r="C765" s="3"/>
      <c r="D765" s="3"/>
      <c r="E765" s="3"/>
      <c r="F765" s="3"/>
      <c r="G765" s="3"/>
    </row>
    <row r="766" ht="15.75" customHeight="1">
      <c r="C766" s="3"/>
      <c r="D766" s="3"/>
      <c r="E766" s="3"/>
      <c r="F766" s="3"/>
      <c r="G766" s="3"/>
    </row>
    <row r="767" ht="15.75" customHeight="1">
      <c r="C767" s="3"/>
      <c r="D767" s="3"/>
      <c r="E767" s="3"/>
      <c r="F767" s="3"/>
      <c r="G767" s="3"/>
    </row>
    <row r="768" ht="15.75" customHeight="1">
      <c r="C768" s="3"/>
      <c r="D768" s="3"/>
      <c r="E768" s="3"/>
      <c r="F768" s="3"/>
      <c r="G768" s="3"/>
    </row>
    <row r="769" ht="15.75" customHeight="1">
      <c r="C769" s="3"/>
      <c r="D769" s="3"/>
      <c r="E769" s="3"/>
      <c r="F769" s="3"/>
      <c r="G769" s="3"/>
    </row>
    <row r="770" ht="15.75" customHeight="1">
      <c r="C770" s="3"/>
      <c r="D770" s="3"/>
      <c r="E770" s="3"/>
      <c r="F770" s="3"/>
      <c r="G770" s="3"/>
    </row>
    <row r="771" ht="15.75" customHeight="1">
      <c r="C771" s="3"/>
      <c r="D771" s="3"/>
      <c r="E771" s="3"/>
      <c r="F771" s="3"/>
      <c r="G771" s="3"/>
    </row>
    <row r="772" ht="15.75" customHeight="1">
      <c r="C772" s="3"/>
      <c r="D772" s="3"/>
      <c r="E772" s="3"/>
      <c r="F772" s="3"/>
      <c r="G772" s="3"/>
    </row>
    <row r="773" ht="15.75" customHeight="1">
      <c r="C773" s="3"/>
      <c r="D773" s="3"/>
      <c r="E773" s="3"/>
      <c r="F773" s="3"/>
      <c r="G773" s="3"/>
    </row>
    <row r="774" ht="15.75" customHeight="1">
      <c r="C774" s="3"/>
      <c r="D774" s="3"/>
      <c r="E774" s="3"/>
      <c r="F774" s="3"/>
      <c r="G774" s="3"/>
    </row>
    <row r="775" ht="15.75" customHeight="1">
      <c r="C775" s="3"/>
      <c r="D775" s="3"/>
      <c r="E775" s="3"/>
      <c r="F775" s="3"/>
      <c r="G775" s="3"/>
    </row>
    <row r="776" ht="15.75" customHeight="1">
      <c r="C776" s="3"/>
      <c r="D776" s="3"/>
      <c r="E776" s="3"/>
      <c r="F776" s="3"/>
      <c r="G776" s="3"/>
    </row>
    <row r="777" ht="15.75" customHeight="1">
      <c r="C777" s="3"/>
      <c r="D777" s="3"/>
      <c r="E777" s="3"/>
      <c r="F777" s="3"/>
      <c r="G777" s="3"/>
    </row>
    <row r="778" ht="15.75" customHeight="1">
      <c r="C778" s="3"/>
      <c r="D778" s="3"/>
      <c r="E778" s="3"/>
      <c r="F778" s="3"/>
      <c r="G778" s="3"/>
    </row>
    <row r="779" ht="15.75" customHeight="1">
      <c r="C779" s="3"/>
      <c r="D779" s="3"/>
      <c r="E779" s="3"/>
      <c r="F779" s="3"/>
      <c r="G779" s="3"/>
    </row>
    <row r="780" ht="15.75" customHeight="1">
      <c r="C780" s="3"/>
      <c r="D780" s="3"/>
      <c r="E780" s="3"/>
      <c r="F780" s="3"/>
      <c r="G780" s="3"/>
    </row>
    <row r="781" ht="15.75" customHeight="1">
      <c r="C781" s="3"/>
      <c r="D781" s="3"/>
      <c r="E781" s="3"/>
      <c r="F781" s="3"/>
      <c r="G781" s="3"/>
    </row>
    <row r="782" ht="15.75" customHeight="1">
      <c r="C782" s="3"/>
      <c r="D782" s="3"/>
      <c r="E782" s="3"/>
      <c r="F782" s="3"/>
      <c r="G782" s="3"/>
    </row>
    <row r="783" ht="15.75" customHeight="1">
      <c r="C783" s="3"/>
      <c r="D783" s="3"/>
      <c r="E783" s="3"/>
      <c r="F783" s="3"/>
      <c r="G783" s="3"/>
    </row>
    <row r="784" ht="15.75" customHeight="1">
      <c r="C784" s="3"/>
      <c r="D784" s="3"/>
      <c r="E784" s="3"/>
      <c r="F784" s="3"/>
      <c r="G784" s="3"/>
    </row>
    <row r="785" ht="15.75" customHeight="1">
      <c r="C785" s="3"/>
      <c r="D785" s="3"/>
      <c r="E785" s="3"/>
      <c r="F785" s="3"/>
      <c r="G785" s="3"/>
    </row>
    <row r="786" ht="15.75" customHeight="1">
      <c r="C786" s="3"/>
      <c r="D786" s="3"/>
      <c r="E786" s="3"/>
      <c r="F786" s="3"/>
      <c r="G786" s="3"/>
    </row>
    <row r="787" ht="15.75" customHeight="1">
      <c r="C787" s="3"/>
      <c r="D787" s="3"/>
      <c r="E787" s="3"/>
      <c r="F787" s="3"/>
      <c r="G787" s="3"/>
    </row>
    <row r="788" ht="15.75" customHeight="1">
      <c r="C788" s="3"/>
      <c r="D788" s="3"/>
      <c r="E788" s="3"/>
      <c r="F788" s="3"/>
      <c r="G788" s="3"/>
    </row>
    <row r="789" ht="15.75" customHeight="1">
      <c r="C789" s="3"/>
      <c r="D789" s="3"/>
      <c r="E789" s="3"/>
      <c r="F789" s="3"/>
      <c r="G789" s="3"/>
    </row>
    <row r="790" ht="15.75" customHeight="1">
      <c r="C790" s="3"/>
      <c r="D790" s="3"/>
      <c r="E790" s="3"/>
      <c r="F790" s="3"/>
      <c r="G790" s="3"/>
    </row>
    <row r="791" ht="15.75" customHeight="1">
      <c r="C791" s="3"/>
      <c r="D791" s="3"/>
      <c r="E791" s="3"/>
      <c r="F791" s="3"/>
      <c r="G791" s="3"/>
    </row>
    <row r="792" ht="15.75" customHeight="1">
      <c r="C792" s="3"/>
      <c r="D792" s="3"/>
      <c r="E792" s="3"/>
      <c r="F792" s="3"/>
      <c r="G792" s="3"/>
    </row>
    <row r="793" ht="15.75" customHeight="1">
      <c r="C793" s="3"/>
      <c r="D793" s="3"/>
      <c r="E793" s="3"/>
      <c r="F793" s="3"/>
      <c r="G793" s="3"/>
    </row>
    <row r="794" ht="15.75" customHeight="1">
      <c r="C794" s="3"/>
      <c r="D794" s="3"/>
      <c r="E794" s="3"/>
      <c r="F794" s="3"/>
      <c r="G794" s="3"/>
    </row>
    <row r="795" ht="15.75" customHeight="1">
      <c r="C795" s="3"/>
      <c r="D795" s="3"/>
      <c r="E795" s="3"/>
      <c r="F795" s="3"/>
      <c r="G795" s="3"/>
    </row>
    <row r="796" ht="15.75" customHeight="1">
      <c r="C796" s="3"/>
      <c r="D796" s="3"/>
      <c r="E796" s="3"/>
      <c r="F796" s="3"/>
      <c r="G796" s="3"/>
    </row>
    <row r="797" ht="15.75" customHeight="1">
      <c r="C797" s="3"/>
      <c r="D797" s="3"/>
      <c r="E797" s="3"/>
      <c r="F797" s="3"/>
      <c r="G797" s="3"/>
    </row>
    <row r="798" ht="15.75" customHeight="1">
      <c r="C798" s="3"/>
      <c r="D798" s="3"/>
      <c r="E798" s="3"/>
      <c r="F798" s="3"/>
      <c r="G798" s="3"/>
    </row>
    <row r="799" ht="15.75" customHeight="1">
      <c r="C799" s="3"/>
      <c r="D799" s="3"/>
      <c r="E799" s="3"/>
      <c r="F799" s="3"/>
      <c r="G799" s="3"/>
    </row>
    <row r="800" ht="15.75" customHeight="1">
      <c r="C800" s="3"/>
      <c r="D800" s="3"/>
      <c r="E800" s="3"/>
      <c r="F800" s="3"/>
      <c r="G800" s="3"/>
    </row>
    <row r="801" ht="15.75" customHeight="1">
      <c r="C801" s="3"/>
      <c r="D801" s="3"/>
      <c r="E801" s="3"/>
      <c r="F801" s="3"/>
      <c r="G801" s="3"/>
    </row>
    <row r="802" ht="15.75" customHeight="1">
      <c r="C802" s="3"/>
      <c r="D802" s="3"/>
      <c r="E802" s="3"/>
      <c r="F802" s="3"/>
      <c r="G802" s="3"/>
    </row>
    <row r="803" ht="15.75" customHeight="1">
      <c r="C803" s="3"/>
      <c r="D803" s="3"/>
      <c r="E803" s="3"/>
      <c r="F803" s="3"/>
      <c r="G803" s="3"/>
    </row>
    <row r="804" ht="15.75" customHeight="1">
      <c r="C804" s="3"/>
      <c r="D804" s="3"/>
      <c r="E804" s="3"/>
      <c r="F804" s="3"/>
      <c r="G804" s="3"/>
    </row>
    <row r="805" ht="15.75" customHeight="1">
      <c r="C805" s="3"/>
      <c r="D805" s="3"/>
      <c r="E805" s="3"/>
      <c r="F805" s="3"/>
      <c r="G805" s="3"/>
    </row>
    <row r="806" ht="15.75" customHeight="1">
      <c r="C806" s="3"/>
      <c r="D806" s="3"/>
      <c r="E806" s="3"/>
      <c r="F806" s="3"/>
      <c r="G806" s="3"/>
    </row>
    <row r="807" ht="15.75" customHeight="1">
      <c r="C807" s="3"/>
      <c r="D807" s="3"/>
      <c r="E807" s="3"/>
      <c r="F807" s="3"/>
      <c r="G807" s="3"/>
    </row>
    <row r="808" ht="15.75" customHeight="1">
      <c r="C808" s="3"/>
      <c r="D808" s="3"/>
      <c r="E808" s="3"/>
      <c r="F808" s="3"/>
      <c r="G808" s="3"/>
    </row>
    <row r="809" ht="15.75" customHeight="1">
      <c r="C809" s="3"/>
      <c r="D809" s="3"/>
      <c r="E809" s="3"/>
      <c r="F809" s="3"/>
      <c r="G809" s="3"/>
    </row>
    <row r="810" ht="15.75" customHeight="1">
      <c r="C810" s="3"/>
      <c r="D810" s="3"/>
      <c r="E810" s="3"/>
      <c r="F810" s="3"/>
      <c r="G810" s="3"/>
    </row>
    <row r="811" ht="15.75" customHeight="1">
      <c r="C811" s="3"/>
      <c r="D811" s="3"/>
      <c r="E811" s="3"/>
      <c r="F811" s="3"/>
      <c r="G811" s="3"/>
    </row>
    <row r="812" ht="15.75" customHeight="1">
      <c r="C812" s="3"/>
      <c r="D812" s="3"/>
      <c r="E812" s="3"/>
      <c r="F812" s="3"/>
      <c r="G812" s="3"/>
    </row>
    <row r="813" ht="15.75" customHeight="1">
      <c r="C813" s="3"/>
      <c r="D813" s="3"/>
      <c r="E813" s="3"/>
      <c r="F813" s="3"/>
      <c r="G813" s="3"/>
    </row>
    <row r="814" ht="15.75" customHeight="1">
      <c r="C814" s="3"/>
      <c r="D814" s="3"/>
      <c r="E814" s="3"/>
      <c r="F814" s="3"/>
      <c r="G814" s="3"/>
    </row>
    <row r="815" ht="15.75" customHeight="1">
      <c r="C815" s="3"/>
      <c r="D815" s="3"/>
      <c r="E815" s="3"/>
      <c r="F815" s="3"/>
      <c r="G815" s="3"/>
    </row>
    <row r="816" ht="15.75" customHeight="1">
      <c r="C816" s="3"/>
      <c r="D816" s="3"/>
      <c r="E816" s="3"/>
      <c r="F816" s="3"/>
      <c r="G816" s="3"/>
    </row>
    <row r="817" ht="15.75" customHeight="1">
      <c r="C817" s="3"/>
      <c r="D817" s="3"/>
      <c r="E817" s="3"/>
      <c r="F817" s="3"/>
      <c r="G817" s="3"/>
    </row>
    <row r="818" ht="15.75" customHeight="1">
      <c r="C818" s="3"/>
      <c r="D818" s="3"/>
      <c r="E818" s="3"/>
      <c r="F818" s="3"/>
      <c r="G818" s="3"/>
    </row>
    <row r="819" ht="15.75" customHeight="1">
      <c r="C819" s="3"/>
      <c r="D819" s="3"/>
      <c r="E819" s="3"/>
      <c r="F819" s="3"/>
      <c r="G819" s="3"/>
    </row>
    <row r="820" ht="15.75" customHeight="1">
      <c r="C820" s="3"/>
      <c r="D820" s="3"/>
      <c r="E820" s="3"/>
      <c r="F820" s="3"/>
      <c r="G820" s="3"/>
    </row>
    <row r="821" ht="15.75" customHeight="1">
      <c r="C821" s="3"/>
      <c r="D821" s="3"/>
      <c r="E821" s="3"/>
      <c r="F821" s="3"/>
      <c r="G821" s="3"/>
    </row>
    <row r="822" ht="15.75" customHeight="1">
      <c r="C822" s="3"/>
      <c r="D822" s="3"/>
      <c r="E822" s="3"/>
      <c r="F822" s="3"/>
      <c r="G822" s="3"/>
    </row>
    <row r="823" ht="15.75" customHeight="1">
      <c r="C823" s="3"/>
      <c r="D823" s="3"/>
      <c r="E823" s="3"/>
      <c r="F823" s="3"/>
      <c r="G823" s="3"/>
    </row>
    <row r="824" ht="15.75" customHeight="1">
      <c r="C824" s="3"/>
      <c r="D824" s="3"/>
      <c r="E824" s="3"/>
      <c r="F824" s="3"/>
      <c r="G824" s="3"/>
    </row>
    <row r="825" ht="15.75" customHeight="1">
      <c r="C825" s="3"/>
      <c r="D825" s="3"/>
      <c r="E825" s="3"/>
      <c r="F825" s="3"/>
      <c r="G825" s="3"/>
    </row>
    <row r="826" ht="15.75" customHeight="1">
      <c r="C826" s="3"/>
      <c r="D826" s="3"/>
      <c r="E826" s="3"/>
      <c r="F826" s="3"/>
      <c r="G826" s="3"/>
    </row>
    <row r="827" ht="15.75" customHeight="1">
      <c r="C827" s="3"/>
      <c r="D827" s="3"/>
      <c r="E827" s="3"/>
      <c r="F827" s="3"/>
      <c r="G827" s="3"/>
    </row>
    <row r="828" ht="15.75" customHeight="1">
      <c r="C828" s="3"/>
      <c r="D828" s="3"/>
      <c r="E828" s="3"/>
      <c r="F828" s="3"/>
      <c r="G828" s="3"/>
    </row>
    <row r="829" ht="15.75" customHeight="1">
      <c r="C829" s="3"/>
      <c r="D829" s="3"/>
      <c r="E829" s="3"/>
      <c r="F829" s="3"/>
      <c r="G829" s="3"/>
    </row>
    <row r="830" ht="15.75" customHeight="1">
      <c r="C830" s="3"/>
      <c r="D830" s="3"/>
      <c r="E830" s="3"/>
      <c r="F830" s="3"/>
      <c r="G830" s="3"/>
    </row>
    <row r="831" ht="15.75" customHeight="1">
      <c r="C831" s="3"/>
      <c r="D831" s="3"/>
      <c r="E831" s="3"/>
      <c r="F831" s="3"/>
      <c r="G831" s="3"/>
    </row>
    <row r="832" ht="15.75" customHeight="1">
      <c r="C832" s="3"/>
      <c r="D832" s="3"/>
      <c r="E832" s="3"/>
      <c r="F832" s="3"/>
      <c r="G832" s="3"/>
    </row>
    <row r="833" ht="15.75" customHeight="1">
      <c r="C833" s="3"/>
      <c r="D833" s="3"/>
      <c r="E833" s="3"/>
      <c r="F833" s="3"/>
      <c r="G833" s="3"/>
    </row>
    <row r="834" ht="15.75" customHeight="1">
      <c r="C834" s="3"/>
      <c r="D834" s="3"/>
      <c r="E834" s="3"/>
      <c r="F834" s="3"/>
      <c r="G834" s="3"/>
    </row>
    <row r="835" ht="15.75" customHeight="1">
      <c r="C835" s="3"/>
      <c r="D835" s="3"/>
      <c r="E835" s="3"/>
      <c r="F835" s="3"/>
      <c r="G835" s="3"/>
    </row>
    <row r="836" ht="15.75" customHeight="1">
      <c r="C836" s="3"/>
      <c r="D836" s="3"/>
      <c r="E836" s="3"/>
      <c r="F836" s="3"/>
      <c r="G836" s="3"/>
    </row>
    <row r="837" ht="15.75" customHeight="1">
      <c r="C837" s="3"/>
      <c r="D837" s="3"/>
      <c r="E837" s="3"/>
      <c r="F837" s="3"/>
      <c r="G837" s="3"/>
    </row>
    <row r="838" ht="15.75" customHeight="1">
      <c r="C838" s="3"/>
      <c r="D838" s="3"/>
      <c r="E838" s="3"/>
      <c r="F838" s="3"/>
      <c r="G838" s="3"/>
    </row>
    <row r="839" ht="15.75" customHeight="1">
      <c r="C839" s="3"/>
      <c r="D839" s="3"/>
      <c r="E839" s="3"/>
      <c r="F839" s="3"/>
      <c r="G839" s="3"/>
    </row>
    <row r="840" ht="15.75" customHeight="1">
      <c r="C840" s="3"/>
      <c r="D840" s="3"/>
      <c r="E840" s="3"/>
      <c r="F840" s="3"/>
      <c r="G840" s="3"/>
    </row>
    <row r="841" ht="15.75" customHeight="1">
      <c r="C841" s="3"/>
      <c r="D841" s="3"/>
      <c r="E841" s="3"/>
      <c r="F841" s="3"/>
      <c r="G841" s="3"/>
    </row>
    <row r="842" ht="15.75" customHeight="1">
      <c r="C842" s="3"/>
      <c r="D842" s="3"/>
      <c r="E842" s="3"/>
      <c r="F842" s="3"/>
      <c r="G842" s="3"/>
    </row>
    <row r="843" ht="15.75" customHeight="1">
      <c r="C843" s="3"/>
      <c r="D843" s="3"/>
      <c r="E843" s="3"/>
      <c r="F843" s="3"/>
      <c r="G843" s="3"/>
    </row>
    <row r="844" ht="15.75" customHeight="1">
      <c r="C844" s="3"/>
      <c r="D844" s="3"/>
      <c r="E844" s="3"/>
      <c r="F844" s="3"/>
      <c r="G844" s="3"/>
    </row>
    <row r="845" ht="15.75" customHeight="1">
      <c r="C845" s="3"/>
      <c r="D845" s="3"/>
      <c r="E845" s="3"/>
      <c r="F845" s="3"/>
      <c r="G845" s="3"/>
    </row>
    <row r="846" ht="15.75" customHeight="1">
      <c r="C846" s="3"/>
      <c r="D846" s="3"/>
      <c r="E846" s="3"/>
      <c r="F846" s="3"/>
      <c r="G846" s="3"/>
    </row>
    <row r="847" ht="15.75" customHeight="1">
      <c r="C847" s="3"/>
      <c r="D847" s="3"/>
      <c r="E847" s="3"/>
      <c r="F847" s="3"/>
      <c r="G847" s="3"/>
    </row>
    <row r="848" ht="15.75" customHeight="1">
      <c r="C848" s="3"/>
      <c r="D848" s="3"/>
      <c r="E848" s="3"/>
      <c r="F848" s="3"/>
      <c r="G848" s="3"/>
    </row>
    <row r="849" ht="15.75" customHeight="1">
      <c r="C849" s="3"/>
      <c r="D849" s="3"/>
      <c r="E849" s="3"/>
      <c r="F849" s="3"/>
      <c r="G849" s="3"/>
    </row>
    <row r="850" ht="15.75" customHeight="1">
      <c r="C850" s="3"/>
      <c r="D850" s="3"/>
      <c r="E850" s="3"/>
      <c r="F850" s="3"/>
      <c r="G850" s="3"/>
    </row>
    <row r="851" ht="15.75" customHeight="1">
      <c r="C851" s="3"/>
      <c r="D851" s="3"/>
      <c r="E851" s="3"/>
      <c r="F851" s="3"/>
      <c r="G851" s="3"/>
    </row>
    <row r="852" ht="15.75" customHeight="1">
      <c r="C852" s="3"/>
      <c r="D852" s="3"/>
      <c r="E852" s="3"/>
      <c r="F852" s="3"/>
      <c r="G852" s="3"/>
    </row>
    <row r="853" ht="15.75" customHeight="1">
      <c r="C853" s="3"/>
      <c r="D853" s="3"/>
      <c r="E853" s="3"/>
      <c r="F853" s="3"/>
      <c r="G853" s="3"/>
    </row>
    <row r="854" ht="15.75" customHeight="1">
      <c r="C854" s="3"/>
      <c r="D854" s="3"/>
      <c r="E854" s="3"/>
      <c r="F854" s="3"/>
      <c r="G854" s="3"/>
    </row>
    <row r="855" ht="15.75" customHeight="1">
      <c r="C855" s="3"/>
      <c r="D855" s="3"/>
      <c r="E855" s="3"/>
      <c r="F855" s="3"/>
      <c r="G855" s="3"/>
    </row>
    <row r="856" ht="15.75" customHeight="1">
      <c r="C856" s="3"/>
      <c r="D856" s="3"/>
      <c r="E856" s="3"/>
      <c r="F856" s="3"/>
      <c r="G856" s="3"/>
    </row>
    <row r="857" ht="15.75" customHeight="1">
      <c r="C857" s="3"/>
      <c r="D857" s="3"/>
      <c r="E857" s="3"/>
      <c r="F857" s="3"/>
      <c r="G857" s="3"/>
    </row>
    <row r="858" ht="15.75" customHeight="1">
      <c r="C858" s="3"/>
      <c r="D858" s="3"/>
      <c r="E858" s="3"/>
      <c r="F858" s="3"/>
      <c r="G858" s="3"/>
    </row>
    <row r="859" ht="15.75" customHeight="1">
      <c r="C859" s="3"/>
      <c r="D859" s="3"/>
      <c r="E859" s="3"/>
      <c r="F859" s="3"/>
      <c r="G859" s="3"/>
    </row>
    <row r="860" ht="15.75" customHeight="1">
      <c r="C860" s="3"/>
      <c r="D860" s="3"/>
      <c r="E860" s="3"/>
      <c r="F860" s="3"/>
      <c r="G860" s="3"/>
    </row>
    <row r="861" ht="15.75" customHeight="1">
      <c r="C861" s="3"/>
      <c r="D861" s="3"/>
      <c r="E861" s="3"/>
      <c r="F861" s="3"/>
      <c r="G861" s="3"/>
    </row>
    <row r="862" ht="15.75" customHeight="1">
      <c r="C862" s="3"/>
      <c r="D862" s="3"/>
      <c r="E862" s="3"/>
      <c r="F862" s="3"/>
      <c r="G862" s="3"/>
    </row>
    <row r="863" ht="15.75" customHeight="1">
      <c r="C863" s="3"/>
      <c r="D863" s="3"/>
      <c r="E863" s="3"/>
      <c r="F863" s="3"/>
      <c r="G863" s="3"/>
    </row>
    <row r="864" ht="15.75" customHeight="1">
      <c r="C864" s="3"/>
      <c r="D864" s="3"/>
      <c r="E864" s="3"/>
      <c r="F864" s="3"/>
      <c r="G864" s="3"/>
    </row>
    <row r="865" ht="15.75" customHeight="1">
      <c r="C865" s="3"/>
      <c r="D865" s="3"/>
      <c r="E865" s="3"/>
      <c r="F865" s="3"/>
      <c r="G865" s="3"/>
    </row>
    <row r="866" ht="15.75" customHeight="1">
      <c r="C866" s="3"/>
      <c r="D866" s="3"/>
      <c r="E866" s="3"/>
      <c r="F866" s="3"/>
      <c r="G866" s="3"/>
    </row>
    <row r="867" ht="15.75" customHeight="1">
      <c r="C867" s="3"/>
      <c r="D867" s="3"/>
      <c r="E867" s="3"/>
      <c r="F867" s="3"/>
      <c r="G867" s="3"/>
    </row>
    <row r="868" ht="15.75" customHeight="1">
      <c r="C868" s="3"/>
      <c r="D868" s="3"/>
      <c r="E868" s="3"/>
      <c r="F868" s="3"/>
      <c r="G868" s="3"/>
    </row>
    <row r="869" ht="15.75" customHeight="1">
      <c r="C869" s="3"/>
      <c r="D869" s="3"/>
      <c r="E869" s="3"/>
      <c r="F869" s="3"/>
      <c r="G869" s="3"/>
    </row>
    <row r="870" ht="15.75" customHeight="1">
      <c r="C870" s="3"/>
      <c r="D870" s="3"/>
      <c r="E870" s="3"/>
      <c r="F870" s="3"/>
      <c r="G870" s="3"/>
    </row>
    <row r="871" ht="15.75" customHeight="1">
      <c r="C871" s="3"/>
      <c r="D871" s="3"/>
      <c r="E871" s="3"/>
      <c r="F871" s="3"/>
      <c r="G871" s="3"/>
    </row>
    <row r="872" ht="15.75" customHeight="1">
      <c r="C872" s="3"/>
      <c r="D872" s="3"/>
      <c r="E872" s="3"/>
      <c r="F872" s="3"/>
      <c r="G872" s="3"/>
    </row>
    <row r="873" ht="15.75" customHeight="1">
      <c r="C873" s="3"/>
      <c r="D873" s="3"/>
      <c r="E873" s="3"/>
      <c r="F873" s="3"/>
      <c r="G873" s="3"/>
    </row>
    <row r="874" ht="15.75" customHeight="1">
      <c r="C874" s="3"/>
      <c r="D874" s="3"/>
      <c r="E874" s="3"/>
      <c r="F874" s="3"/>
      <c r="G874" s="3"/>
    </row>
    <row r="875" ht="15.75" customHeight="1">
      <c r="C875" s="3"/>
      <c r="D875" s="3"/>
      <c r="E875" s="3"/>
      <c r="F875" s="3"/>
      <c r="G875" s="3"/>
    </row>
    <row r="876" ht="15.75" customHeight="1">
      <c r="C876" s="3"/>
      <c r="D876" s="3"/>
      <c r="E876" s="3"/>
      <c r="F876" s="3"/>
      <c r="G876" s="3"/>
    </row>
    <row r="877" ht="15.75" customHeight="1">
      <c r="C877" s="3"/>
      <c r="D877" s="3"/>
      <c r="E877" s="3"/>
      <c r="F877" s="3"/>
      <c r="G877" s="3"/>
    </row>
    <row r="878" ht="15.75" customHeight="1">
      <c r="C878" s="3"/>
      <c r="D878" s="3"/>
      <c r="E878" s="3"/>
      <c r="F878" s="3"/>
      <c r="G878" s="3"/>
    </row>
    <row r="879" ht="15.75" customHeight="1">
      <c r="C879" s="3"/>
      <c r="D879" s="3"/>
      <c r="E879" s="3"/>
      <c r="F879" s="3"/>
      <c r="G879" s="3"/>
    </row>
    <row r="880" ht="15.75" customHeight="1">
      <c r="C880" s="3"/>
      <c r="D880" s="3"/>
      <c r="E880" s="3"/>
      <c r="F880" s="3"/>
      <c r="G880" s="3"/>
    </row>
    <row r="881" ht="15.75" customHeight="1">
      <c r="C881" s="3"/>
      <c r="D881" s="3"/>
      <c r="E881" s="3"/>
      <c r="F881" s="3"/>
      <c r="G881" s="3"/>
    </row>
    <row r="882" ht="15.75" customHeight="1">
      <c r="C882" s="3"/>
      <c r="D882" s="3"/>
      <c r="E882" s="3"/>
      <c r="F882" s="3"/>
      <c r="G882" s="3"/>
    </row>
    <row r="883" ht="15.75" customHeight="1">
      <c r="C883" s="3"/>
      <c r="D883" s="3"/>
      <c r="E883" s="3"/>
      <c r="F883" s="3"/>
      <c r="G883" s="3"/>
    </row>
    <row r="884" ht="15.75" customHeight="1">
      <c r="C884" s="3"/>
      <c r="D884" s="3"/>
      <c r="E884" s="3"/>
      <c r="F884" s="3"/>
      <c r="G884" s="3"/>
    </row>
    <row r="885" ht="15.75" customHeight="1">
      <c r="C885" s="3"/>
      <c r="D885" s="3"/>
      <c r="E885" s="3"/>
      <c r="F885" s="3"/>
      <c r="G885" s="3"/>
    </row>
    <row r="886" ht="15.75" customHeight="1">
      <c r="C886" s="3"/>
      <c r="D886" s="3"/>
      <c r="E886" s="3"/>
      <c r="F886" s="3"/>
      <c r="G886" s="3"/>
    </row>
    <row r="887" ht="15.75" customHeight="1">
      <c r="C887" s="3"/>
      <c r="D887" s="3"/>
      <c r="E887" s="3"/>
      <c r="F887" s="3"/>
      <c r="G887" s="3"/>
    </row>
    <row r="888" ht="15.75" customHeight="1">
      <c r="C888" s="3"/>
      <c r="D888" s="3"/>
      <c r="E888" s="3"/>
      <c r="F888" s="3"/>
      <c r="G888" s="3"/>
    </row>
    <row r="889" ht="15.75" customHeight="1">
      <c r="C889" s="3"/>
      <c r="D889" s="3"/>
      <c r="E889" s="3"/>
      <c r="F889" s="3"/>
      <c r="G889" s="3"/>
    </row>
    <row r="890" ht="15.75" customHeight="1">
      <c r="C890" s="3"/>
      <c r="D890" s="3"/>
      <c r="E890" s="3"/>
      <c r="F890" s="3"/>
      <c r="G890" s="3"/>
    </row>
    <row r="891" ht="15.75" customHeight="1">
      <c r="C891" s="3"/>
      <c r="D891" s="3"/>
      <c r="E891" s="3"/>
      <c r="F891" s="3"/>
      <c r="G891" s="3"/>
    </row>
    <row r="892" ht="15.75" customHeight="1">
      <c r="C892" s="3"/>
      <c r="D892" s="3"/>
      <c r="E892" s="3"/>
      <c r="F892" s="3"/>
      <c r="G892" s="3"/>
    </row>
    <row r="893" ht="15.75" customHeight="1">
      <c r="C893" s="3"/>
      <c r="D893" s="3"/>
      <c r="E893" s="3"/>
      <c r="F893" s="3"/>
      <c r="G893" s="3"/>
    </row>
    <row r="894" ht="15.75" customHeight="1">
      <c r="C894" s="3"/>
      <c r="D894" s="3"/>
      <c r="E894" s="3"/>
      <c r="F894" s="3"/>
      <c r="G894" s="3"/>
    </row>
    <row r="895" ht="15.75" customHeight="1">
      <c r="C895" s="3"/>
      <c r="D895" s="3"/>
      <c r="E895" s="3"/>
      <c r="F895" s="3"/>
      <c r="G895" s="3"/>
    </row>
    <row r="896" ht="15.75" customHeight="1">
      <c r="C896" s="3"/>
      <c r="D896" s="3"/>
      <c r="E896" s="3"/>
      <c r="F896" s="3"/>
      <c r="G896" s="3"/>
    </row>
    <row r="897" ht="15.75" customHeight="1">
      <c r="C897" s="3"/>
      <c r="D897" s="3"/>
      <c r="E897" s="3"/>
      <c r="F897" s="3"/>
      <c r="G897" s="3"/>
    </row>
    <row r="898" ht="15.75" customHeight="1">
      <c r="C898" s="3"/>
      <c r="D898" s="3"/>
      <c r="E898" s="3"/>
      <c r="F898" s="3"/>
      <c r="G898" s="3"/>
    </row>
    <row r="899" ht="15.75" customHeight="1">
      <c r="C899" s="3"/>
      <c r="D899" s="3"/>
      <c r="E899" s="3"/>
      <c r="F899" s="3"/>
      <c r="G899" s="3"/>
    </row>
    <row r="900" ht="15.75" customHeight="1">
      <c r="C900" s="3"/>
      <c r="D900" s="3"/>
      <c r="E900" s="3"/>
      <c r="F900" s="3"/>
      <c r="G900" s="3"/>
    </row>
    <row r="901" ht="15.75" customHeight="1">
      <c r="C901" s="3"/>
      <c r="D901" s="3"/>
      <c r="E901" s="3"/>
      <c r="F901" s="3"/>
      <c r="G901" s="3"/>
    </row>
    <row r="902" ht="15.75" customHeight="1">
      <c r="C902" s="3"/>
      <c r="D902" s="3"/>
      <c r="E902" s="3"/>
      <c r="F902" s="3"/>
      <c r="G902" s="3"/>
    </row>
    <row r="903" ht="15.75" customHeight="1">
      <c r="C903" s="3"/>
      <c r="D903" s="3"/>
      <c r="E903" s="3"/>
      <c r="F903" s="3"/>
      <c r="G903" s="3"/>
    </row>
    <row r="904" ht="15.75" customHeight="1">
      <c r="C904" s="3"/>
      <c r="D904" s="3"/>
      <c r="E904" s="3"/>
      <c r="F904" s="3"/>
      <c r="G904" s="3"/>
    </row>
    <row r="905" ht="15.75" customHeight="1">
      <c r="C905" s="3"/>
      <c r="D905" s="3"/>
      <c r="E905" s="3"/>
      <c r="F905" s="3"/>
      <c r="G905" s="3"/>
    </row>
    <row r="906" ht="15.75" customHeight="1">
      <c r="C906" s="3"/>
      <c r="D906" s="3"/>
      <c r="E906" s="3"/>
      <c r="F906" s="3"/>
      <c r="G906" s="3"/>
    </row>
    <row r="907" ht="15.75" customHeight="1">
      <c r="C907" s="3"/>
      <c r="D907" s="3"/>
      <c r="E907" s="3"/>
      <c r="F907" s="3"/>
      <c r="G907" s="3"/>
    </row>
    <row r="908" ht="15.75" customHeight="1">
      <c r="C908" s="3"/>
      <c r="D908" s="3"/>
      <c r="E908" s="3"/>
      <c r="F908" s="3"/>
      <c r="G908" s="3"/>
    </row>
    <row r="909" ht="15.75" customHeight="1">
      <c r="C909" s="3"/>
      <c r="D909" s="3"/>
      <c r="E909" s="3"/>
      <c r="F909" s="3"/>
      <c r="G909" s="3"/>
    </row>
    <row r="910" ht="15.75" customHeight="1">
      <c r="C910" s="3"/>
      <c r="D910" s="3"/>
      <c r="E910" s="3"/>
      <c r="F910" s="3"/>
      <c r="G910" s="3"/>
    </row>
    <row r="911" ht="15.75" customHeight="1">
      <c r="C911" s="3"/>
      <c r="D911" s="3"/>
      <c r="E911" s="3"/>
      <c r="F911" s="3"/>
      <c r="G911" s="3"/>
    </row>
    <row r="912" ht="15.75" customHeight="1">
      <c r="C912" s="3"/>
      <c r="D912" s="3"/>
      <c r="E912" s="3"/>
      <c r="F912" s="3"/>
      <c r="G912" s="3"/>
    </row>
    <row r="913" ht="15.75" customHeight="1">
      <c r="C913" s="3"/>
      <c r="D913" s="3"/>
      <c r="E913" s="3"/>
      <c r="F913" s="3"/>
      <c r="G913" s="3"/>
    </row>
    <row r="914" ht="15.75" customHeight="1">
      <c r="C914" s="3"/>
      <c r="D914" s="3"/>
      <c r="E914" s="3"/>
      <c r="F914" s="3"/>
      <c r="G914" s="3"/>
    </row>
    <row r="915" ht="15.75" customHeight="1">
      <c r="C915" s="3"/>
      <c r="D915" s="3"/>
      <c r="E915" s="3"/>
      <c r="F915" s="3"/>
      <c r="G915" s="3"/>
    </row>
    <row r="916" ht="15.75" customHeight="1">
      <c r="C916" s="3"/>
      <c r="D916" s="3"/>
      <c r="E916" s="3"/>
      <c r="F916" s="3"/>
      <c r="G916" s="3"/>
    </row>
    <row r="917" ht="15.75" customHeight="1">
      <c r="C917" s="3"/>
      <c r="D917" s="3"/>
      <c r="E917" s="3"/>
      <c r="F917" s="3"/>
      <c r="G917" s="3"/>
    </row>
    <row r="918" ht="15.75" customHeight="1">
      <c r="C918" s="3"/>
      <c r="D918" s="3"/>
      <c r="E918" s="3"/>
      <c r="F918" s="3"/>
      <c r="G918" s="3"/>
    </row>
    <row r="919" ht="15.75" customHeight="1">
      <c r="C919" s="3"/>
      <c r="D919" s="3"/>
      <c r="E919" s="3"/>
      <c r="F919" s="3"/>
      <c r="G919" s="3"/>
    </row>
    <row r="920" ht="15.75" customHeight="1">
      <c r="C920" s="3"/>
      <c r="D920" s="3"/>
      <c r="E920" s="3"/>
      <c r="F920" s="3"/>
      <c r="G920" s="3"/>
    </row>
    <row r="921" ht="15.75" customHeight="1">
      <c r="C921" s="3"/>
      <c r="D921" s="3"/>
      <c r="E921" s="3"/>
      <c r="F921" s="3"/>
      <c r="G921" s="3"/>
    </row>
    <row r="922" ht="15.75" customHeight="1">
      <c r="C922" s="3"/>
      <c r="D922" s="3"/>
      <c r="E922" s="3"/>
      <c r="F922" s="3"/>
      <c r="G922" s="3"/>
    </row>
    <row r="923" ht="15.75" customHeight="1">
      <c r="C923" s="3"/>
      <c r="D923" s="3"/>
      <c r="E923" s="3"/>
      <c r="F923" s="3"/>
      <c r="G923" s="3"/>
    </row>
    <row r="924" ht="15.75" customHeight="1">
      <c r="C924" s="3"/>
      <c r="D924" s="3"/>
      <c r="E924" s="3"/>
      <c r="F924" s="3"/>
      <c r="G924" s="3"/>
    </row>
    <row r="925" ht="15.75" customHeight="1">
      <c r="C925" s="3"/>
      <c r="D925" s="3"/>
      <c r="E925" s="3"/>
      <c r="F925" s="3"/>
      <c r="G925" s="3"/>
    </row>
    <row r="926" ht="15.75" customHeight="1">
      <c r="C926" s="3"/>
      <c r="D926" s="3"/>
      <c r="E926" s="3"/>
      <c r="F926" s="3"/>
      <c r="G926" s="3"/>
    </row>
    <row r="927" ht="15.75" customHeight="1">
      <c r="C927" s="3"/>
      <c r="D927" s="3"/>
      <c r="E927" s="3"/>
      <c r="F927" s="3"/>
      <c r="G927" s="3"/>
    </row>
    <row r="928" ht="15.75" customHeight="1">
      <c r="C928" s="3"/>
      <c r="D928" s="3"/>
      <c r="E928" s="3"/>
      <c r="F928" s="3"/>
      <c r="G928" s="3"/>
    </row>
    <row r="929" ht="15.75" customHeight="1">
      <c r="C929" s="3"/>
      <c r="D929" s="3"/>
      <c r="E929" s="3"/>
      <c r="F929" s="3"/>
      <c r="G929" s="3"/>
    </row>
    <row r="930" ht="15.75" customHeight="1">
      <c r="C930" s="3"/>
      <c r="D930" s="3"/>
      <c r="E930" s="3"/>
      <c r="F930" s="3"/>
      <c r="G930" s="3"/>
    </row>
    <row r="931" ht="15.75" customHeight="1">
      <c r="C931" s="3"/>
      <c r="D931" s="3"/>
      <c r="E931" s="3"/>
      <c r="F931" s="3"/>
      <c r="G931" s="3"/>
    </row>
    <row r="932" ht="15.75" customHeight="1">
      <c r="C932" s="3"/>
      <c r="D932" s="3"/>
      <c r="E932" s="3"/>
      <c r="F932" s="3"/>
      <c r="G932" s="3"/>
    </row>
    <row r="933" ht="15.75" customHeight="1">
      <c r="C933" s="3"/>
      <c r="D933" s="3"/>
      <c r="E933" s="3"/>
      <c r="F933" s="3"/>
      <c r="G933" s="3"/>
    </row>
    <row r="934" ht="15.75" customHeight="1">
      <c r="C934" s="3"/>
      <c r="D934" s="3"/>
      <c r="E934" s="3"/>
      <c r="F934" s="3"/>
      <c r="G934" s="3"/>
    </row>
    <row r="935" ht="15.75" customHeight="1">
      <c r="C935" s="3"/>
      <c r="D935" s="3"/>
      <c r="E935" s="3"/>
      <c r="F935" s="3"/>
      <c r="G935" s="3"/>
    </row>
    <row r="936" ht="15.75" customHeight="1">
      <c r="C936" s="3"/>
      <c r="D936" s="3"/>
      <c r="E936" s="3"/>
      <c r="F936" s="3"/>
      <c r="G936" s="3"/>
    </row>
    <row r="937" ht="15.75" customHeight="1">
      <c r="C937" s="3"/>
      <c r="D937" s="3"/>
      <c r="E937" s="3"/>
      <c r="F937" s="3"/>
      <c r="G937" s="3"/>
    </row>
    <row r="938" ht="15.75" customHeight="1">
      <c r="C938" s="3"/>
      <c r="D938" s="3"/>
      <c r="E938" s="3"/>
      <c r="F938" s="3"/>
      <c r="G938" s="3"/>
    </row>
    <row r="939" ht="15.75" customHeight="1">
      <c r="C939" s="3"/>
      <c r="D939" s="3"/>
      <c r="E939" s="3"/>
      <c r="F939" s="3"/>
      <c r="G939" s="3"/>
    </row>
    <row r="940" ht="15.75" customHeight="1">
      <c r="C940" s="3"/>
      <c r="D940" s="3"/>
      <c r="E940" s="3"/>
      <c r="F940" s="3"/>
      <c r="G940" s="3"/>
    </row>
    <row r="941" ht="15.75" customHeight="1">
      <c r="C941" s="3"/>
      <c r="D941" s="3"/>
      <c r="E941" s="3"/>
      <c r="F941" s="3"/>
      <c r="G941" s="3"/>
    </row>
    <row r="942" ht="15.75" customHeight="1">
      <c r="C942" s="3"/>
      <c r="D942" s="3"/>
      <c r="E942" s="3"/>
      <c r="F942" s="3"/>
      <c r="G942" s="3"/>
    </row>
    <row r="943" ht="15.75" customHeight="1">
      <c r="C943" s="3"/>
      <c r="D943" s="3"/>
      <c r="E943" s="3"/>
      <c r="F943" s="3"/>
      <c r="G943" s="3"/>
    </row>
    <row r="944" ht="15.75" customHeight="1">
      <c r="C944" s="3"/>
      <c r="D944" s="3"/>
      <c r="E944" s="3"/>
      <c r="F944" s="3"/>
      <c r="G944" s="3"/>
    </row>
    <row r="945" ht="15.75" customHeight="1">
      <c r="C945" s="3"/>
      <c r="D945" s="3"/>
      <c r="E945" s="3"/>
      <c r="F945" s="3"/>
      <c r="G945" s="3"/>
    </row>
    <row r="946" ht="15.75" customHeight="1">
      <c r="C946" s="3"/>
      <c r="D946" s="3"/>
      <c r="E946" s="3"/>
      <c r="F946" s="3"/>
      <c r="G946" s="3"/>
    </row>
    <row r="947" ht="15.75" customHeight="1">
      <c r="C947" s="3"/>
      <c r="D947" s="3"/>
      <c r="E947" s="3"/>
      <c r="F947" s="3"/>
      <c r="G947" s="3"/>
    </row>
    <row r="948" ht="15.75" customHeight="1">
      <c r="C948" s="3"/>
      <c r="D948" s="3"/>
      <c r="E948" s="3"/>
      <c r="F948" s="3"/>
      <c r="G948" s="3"/>
    </row>
    <row r="949" ht="15.75" customHeight="1">
      <c r="C949" s="3"/>
      <c r="D949" s="3"/>
      <c r="E949" s="3"/>
      <c r="F949" s="3"/>
      <c r="G949" s="3"/>
    </row>
    <row r="950" ht="15.75" customHeight="1">
      <c r="C950" s="3"/>
      <c r="D950" s="3"/>
      <c r="E950" s="3"/>
      <c r="F950" s="3"/>
      <c r="G950" s="3"/>
    </row>
    <row r="951" ht="15.75" customHeight="1">
      <c r="C951" s="3"/>
      <c r="D951" s="3"/>
      <c r="E951" s="3"/>
      <c r="F951" s="3"/>
      <c r="G951" s="3"/>
    </row>
    <row r="952" ht="15.75" customHeight="1">
      <c r="C952" s="3"/>
      <c r="D952" s="3"/>
      <c r="E952" s="3"/>
      <c r="F952" s="3"/>
      <c r="G952" s="3"/>
    </row>
    <row r="953" ht="15.75" customHeight="1">
      <c r="C953" s="3"/>
      <c r="D953" s="3"/>
      <c r="E953" s="3"/>
      <c r="F953" s="3"/>
      <c r="G953" s="3"/>
    </row>
    <row r="954" ht="15.75" customHeight="1">
      <c r="C954" s="3"/>
      <c r="D954" s="3"/>
      <c r="E954" s="3"/>
      <c r="F954" s="3"/>
      <c r="G954" s="3"/>
    </row>
    <row r="955" ht="15.75" customHeight="1">
      <c r="C955" s="3"/>
      <c r="D955" s="3"/>
      <c r="E955" s="3"/>
      <c r="F955" s="3"/>
      <c r="G955" s="3"/>
    </row>
    <row r="956" ht="15.75" customHeight="1">
      <c r="C956" s="3"/>
      <c r="D956" s="3"/>
      <c r="E956" s="3"/>
      <c r="F956" s="3"/>
      <c r="G956" s="3"/>
    </row>
    <row r="957" ht="15.75" customHeight="1">
      <c r="C957" s="3"/>
      <c r="D957" s="3"/>
      <c r="E957" s="3"/>
      <c r="F957" s="3"/>
      <c r="G957" s="3"/>
    </row>
    <row r="958" ht="15.75" customHeight="1">
      <c r="C958" s="3"/>
      <c r="D958" s="3"/>
      <c r="E958" s="3"/>
      <c r="F958" s="3"/>
      <c r="G958" s="3"/>
    </row>
    <row r="959" ht="15.75" customHeight="1">
      <c r="C959" s="3"/>
      <c r="D959" s="3"/>
      <c r="E959" s="3"/>
      <c r="F959" s="3"/>
      <c r="G959" s="3"/>
    </row>
    <row r="960" ht="15.75" customHeight="1">
      <c r="C960" s="3"/>
      <c r="D960" s="3"/>
      <c r="E960" s="3"/>
      <c r="F960" s="3"/>
      <c r="G960" s="3"/>
    </row>
    <row r="961" ht="15.75" customHeight="1">
      <c r="C961" s="3"/>
      <c r="D961" s="3"/>
      <c r="E961" s="3"/>
      <c r="F961" s="3"/>
      <c r="G961" s="3"/>
    </row>
    <row r="962" ht="15.75" customHeight="1">
      <c r="C962" s="3"/>
      <c r="D962" s="3"/>
      <c r="E962" s="3"/>
      <c r="F962" s="3"/>
      <c r="G962" s="3"/>
    </row>
    <row r="963" ht="15.75" customHeight="1">
      <c r="C963" s="3"/>
      <c r="D963" s="3"/>
      <c r="E963" s="3"/>
      <c r="F963" s="3"/>
      <c r="G963" s="3"/>
    </row>
    <row r="964" ht="15.75" customHeight="1">
      <c r="C964" s="3"/>
      <c r="D964" s="3"/>
      <c r="E964" s="3"/>
      <c r="F964" s="3"/>
      <c r="G964" s="3"/>
    </row>
    <row r="965" ht="15.75" customHeight="1">
      <c r="C965" s="3"/>
      <c r="D965" s="3"/>
      <c r="E965" s="3"/>
      <c r="F965" s="3"/>
      <c r="G965" s="3"/>
    </row>
    <row r="966" ht="15.75" customHeight="1">
      <c r="C966" s="3"/>
      <c r="D966" s="3"/>
      <c r="E966" s="3"/>
      <c r="F966" s="3"/>
      <c r="G966" s="3"/>
    </row>
    <row r="967" ht="15.75" customHeight="1">
      <c r="C967" s="3"/>
      <c r="D967" s="3"/>
      <c r="E967" s="3"/>
      <c r="F967" s="3"/>
      <c r="G967" s="3"/>
    </row>
    <row r="968" ht="15.75" customHeight="1">
      <c r="C968" s="3"/>
      <c r="D968" s="3"/>
      <c r="E968" s="3"/>
      <c r="F968" s="3"/>
      <c r="G968" s="3"/>
    </row>
    <row r="969" ht="15.75" customHeight="1">
      <c r="C969" s="3"/>
      <c r="D969" s="3"/>
      <c r="E969" s="3"/>
      <c r="F969" s="3"/>
      <c r="G969" s="3"/>
    </row>
    <row r="970" ht="15.75" customHeight="1">
      <c r="C970" s="3"/>
      <c r="D970" s="3"/>
      <c r="E970" s="3"/>
      <c r="F970" s="3"/>
      <c r="G970" s="3"/>
    </row>
    <row r="971" ht="15.75" customHeight="1">
      <c r="C971" s="3"/>
      <c r="D971" s="3"/>
      <c r="E971" s="3"/>
      <c r="F971" s="3"/>
      <c r="G971" s="3"/>
    </row>
    <row r="972" ht="15.75" customHeight="1">
      <c r="C972" s="3"/>
      <c r="D972" s="3"/>
      <c r="E972" s="3"/>
      <c r="F972" s="3"/>
      <c r="G972" s="3"/>
    </row>
    <row r="973" ht="15.75" customHeight="1">
      <c r="C973" s="3"/>
      <c r="D973" s="3"/>
      <c r="E973" s="3"/>
      <c r="F973" s="3"/>
      <c r="G973" s="3"/>
    </row>
    <row r="974" ht="15.75" customHeight="1">
      <c r="C974" s="3"/>
      <c r="D974" s="3"/>
      <c r="E974" s="3"/>
      <c r="F974" s="3"/>
      <c r="G974" s="3"/>
    </row>
    <row r="975" ht="15.75" customHeight="1">
      <c r="C975" s="3"/>
      <c r="D975" s="3"/>
      <c r="E975" s="3"/>
      <c r="F975" s="3"/>
      <c r="G975" s="3"/>
    </row>
    <row r="976" ht="15.75" customHeight="1">
      <c r="C976" s="3"/>
      <c r="D976" s="3"/>
      <c r="E976" s="3"/>
      <c r="F976" s="3"/>
      <c r="G976" s="3"/>
    </row>
    <row r="977" ht="15.75" customHeight="1">
      <c r="C977" s="3"/>
      <c r="D977" s="3"/>
      <c r="E977" s="3"/>
      <c r="F977" s="3"/>
      <c r="G977" s="3"/>
    </row>
    <row r="978" ht="15.75" customHeight="1">
      <c r="C978" s="3"/>
      <c r="D978" s="3"/>
      <c r="E978" s="3"/>
      <c r="F978" s="3"/>
      <c r="G978" s="3"/>
    </row>
    <row r="979" ht="15.75" customHeight="1">
      <c r="C979" s="3"/>
      <c r="D979" s="3"/>
      <c r="E979" s="3"/>
      <c r="F979" s="3"/>
      <c r="G979" s="3"/>
    </row>
    <row r="980" ht="15.75" customHeight="1">
      <c r="C980" s="3"/>
      <c r="D980" s="3"/>
      <c r="E980" s="3"/>
      <c r="F980" s="3"/>
      <c r="G980" s="3"/>
    </row>
    <row r="981" ht="15.75" customHeight="1">
      <c r="C981" s="3"/>
      <c r="D981" s="3"/>
      <c r="E981" s="3"/>
      <c r="F981" s="3"/>
      <c r="G981" s="3"/>
    </row>
    <row r="982" ht="15.75" customHeight="1">
      <c r="C982" s="3"/>
      <c r="D982" s="3"/>
      <c r="E982" s="3"/>
      <c r="F982" s="3"/>
      <c r="G982" s="3"/>
    </row>
    <row r="983" ht="15.75" customHeight="1">
      <c r="C983" s="3"/>
      <c r="D983" s="3"/>
      <c r="E983" s="3"/>
      <c r="F983" s="3"/>
      <c r="G983" s="3"/>
    </row>
    <row r="984" ht="15.75" customHeight="1">
      <c r="C984" s="3"/>
      <c r="D984" s="3"/>
      <c r="E984" s="3"/>
      <c r="F984" s="3"/>
      <c r="G984" s="3"/>
    </row>
    <row r="985" ht="15.75" customHeight="1">
      <c r="C985" s="3"/>
      <c r="D985" s="3"/>
      <c r="E985" s="3"/>
      <c r="F985" s="3"/>
      <c r="G985" s="3"/>
    </row>
    <row r="986" ht="15.75" customHeight="1">
      <c r="C986" s="3"/>
      <c r="D986" s="3"/>
      <c r="E986" s="3"/>
      <c r="F986" s="3"/>
      <c r="G986" s="3"/>
    </row>
    <row r="987" ht="15.75" customHeight="1">
      <c r="C987" s="3"/>
      <c r="D987" s="3"/>
      <c r="E987" s="3"/>
      <c r="F987" s="3"/>
      <c r="G987" s="3"/>
    </row>
    <row r="988" ht="15.75" customHeight="1">
      <c r="C988" s="3"/>
      <c r="D988" s="3"/>
      <c r="E988" s="3"/>
      <c r="F988" s="3"/>
      <c r="G988" s="3"/>
    </row>
    <row r="989" ht="15.75" customHeight="1">
      <c r="C989" s="3"/>
      <c r="D989" s="3"/>
      <c r="E989" s="3"/>
      <c r="F989" s="3"/>
      <c r="G989" s="3"/>
    </row>
    <row r="990" ht="15.75" customHeight="1">
      <c r="C990" s="3"/>
      <c r="D990" s="3"/>
      <c r="E990" s="3"/>
      <c r="F990" s="3"/>
      <c r="G990" s="3"/>
    </row>
    <row r="991" ht="15.75" customHeight="1">
      <c r="C991" s="3"/>
      <c r="D991" s="3"/>
      <c r="E991" s="3"/>
      <c r="F991" s="3"/>
      <c r="G991" s="3"/>
    </row>
    <row r="992" ht="15.75" customHeight="1">
      <c r="C992" s="3"/>
      <c r="D992" s="3"/>
      <c r="E992" s="3"/>
      <c r="F992" s="3"/>
      <c r="G992" s="3"/>
    </row>
    <row r="993" ht="15.75" customHeight="1">
      <c r="C993" s="3"/>
      <c r="D993" s="3"/>
      <c r="E993" s="3"/>
      <c r="F993" s="3"/>
      <c r="G993" s="3"/>
    </row>
    <row r="994" ht="15.75" customHeight="1">
      <c r="C994" s="3"/>
      <c r="D994" s="3"/>
      <c r="E994" s="3"/>
      <c r="F994" s="3"/>
      <c r="G994" s="3"/>
    </row>
    <row r="995" ht="15.75" customHeight="1">
      <c r="C995" s="3"/>
      <c r="D995" s="3"/>
      <c r="E995" s="3"/>
      <c r="F995" s="3"/>
      <c r="G995" s="3"/>
    </row>
    <row r="996" ht="15.75" customHeight="1">
      <c r="C996" s="3"/>
      <c r="D996" s="3"/>
      <c r="E996" s="3"/>
      <c r="F996" s="3"/>
      <c r="G996" s="3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</cols>
  <sheetData>
    <row r="1" ht="225.0" customHeight="1"/>
    <row r="3" ht="22.5" customHeight="1">
      <c r="A3" s="16" t="s">
        <v>8</v>
      </c>
      <c r="B3" s="16" t="s">
        <v>16</v>
      </c>
      <c r="C3" s="16" t="s">
        <v>17</v>
      </c>
    </row>
    <row r="4" ht="22.5" customHeight="1">
      <c r="A4" s="17" t="s">
        <v>17</v>
      </c>
      <c r="B4" s="17"/>
      <c r="C4" s="18">
        <v>94.71</v>
      </c>
    </row>
    <row r="5" ht="22.5" customHeight="1">
      <c r="A5" s="17" t="s">
        <v>16</v>
      </c>
      <c r="B5" s="19">
        <v>97.71</v>
      </c>
      <c r="C5" s="17"/>
    </row>
  </sheetData>
  <dataValidations>
    <dataValidation type="custom" allowBlank="1" showDropDown="1" sqref="B4:C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